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filterPrivacy="1" codeName="ThisWorkbook"/>
  <xr:revisionPtr revIDLastSave="0" documentId="8_{5B352AF3-6617-4ABE-9D6A-34A23B656ADA}" xr6:coauthVersionLast="47" xr6:coauthVersionMax="47" xr10:uidLastSave="{00000000-0000-0000-0000-000000000000}"/>
  <bookViews>
    <workbookView xWindow="-120" yWindow="-120" windowWidth="29040" windowHeight="15720" xr2:uid="{00000000-000D-0000-FFFF-FFFF00000000}"/>
  </bookViews>
  <sheets>
    <sheet name="PlanningProjet" sheetId="11" r:id="rId1"/>
    <sheet name="À propos de" sheetId="12" r:id="rId2"/>
  </sheets>
  <definedNames>
    <definedName name="avancement_tâche" localSheetId="0">PlanningProjet!$D1</definedName>
    <definedName name="ce_jour" localSheetId="0">TODAY()</definedName>
    <definedName name="Début_Projet">PlanningProjet!$E$4</definedName>
    <definedName name="début_tâche" localSheetId="0">PlanningProjet!$E1</definedName>
    <definedName name="fin_tâche" localSheetId="0">PlanningProjet!$F1</definedName>
    <definedName name="_xlnm.Print_Titles" localSheetId="0">PlanningProjet!$5:$7</definedName>
    <definedName name="Semaine_Affichage">PlanningProjet!$E$5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11" l="1"/>
  <c r="F22" i="11" s="1"/>
  <c r="H27" i="11"/>
  <c r="F30" i="11"/>
  <c r="F29" i="11"/>
  <c r="F28" i="11"/>
  <c r="E31" i="11"/>
  <c r="E30" i="11"/>
  <c r="E29" i="11"/>
  <c r="E28" i="11"/>
  <c r="F26" i="11"/>
  <c r="F25" i="11"/>
  <c r="E26" i="11"/>
  <c r="F24" i="11"/>
  <c r="E25" i="11" s="1"/>
  <c r="E24" i="11"/>
  <c r="F23" i="11"/>
  <c r="E23" i="11"/>
  <c r="F21" i="11"/>
  <c r="F19" i="11"/>
  <c r="F18" i="11"/>
  <c r="F17" i="11"/>
  <c r="F15" i="11"/>
  <c r="E16" i="11" s="1"/>
  <c r="F16" i="11" s="1"/>
  <c r="F13" i="11"/>
  <c r="E10" i="11"/>
  <c r="E12" i="11" s="1"/>
  <c r="F12" i="11" s="1"/>
  <c r="I6" i="11"/>
  <c r="I5" i="11" s="1"/>
  <c r="H8" i="11"/>
  <c r="F10" i="11" l="1"/>
  <c r="E11" i="11"/>
  <c r="F11" i="11" s="1"/>
  <c r="H31" i="11"/>
  <c r="H30" i="11"/>
  <c r="H29" i="11"/>
  <c r="H20" i="11"/>
  <c r="H14" i="11"/>
  <c r="H9" i="11"/>
  <c r="H28" i="11" l="1"/>
  <c r="H15" i="11"/>
  <c r="H16" i="11" l="1"/>
  <c r="E17" i="11"/>
  <c r="E18" i="11" l="1"/>
  <c r="H17" i="11"/>
  <c r="E19" i="11" l="1"/>
  <c r="H18" i="11"/>
  <c r="I7" i="11"/>
  <c r="H11" i="11"/>
  <c r="J6" i="11"/>
  <c r="H19" i="11" l="1"/>
  <c r="E21" i="11"/>
  <c r="H10" i="11"/>
  <c r="K6" i="11"/>
  <c r="J7" i="11"/>
  <c r="H13" i="11" l="1"/>
  <c r="H12" i="11"/>
  <c r="L6" i="11"/>
  <c r="K7" i="11"/>
  <c r="H21" i="11" l="1"/>
  <c r="H22" i="11"/>
  <c r="M6" i="11"/>
  <c r="L7" i="11"/>
  <c r="H25" i="11" l="1"/>
  <c r="H26" i="11"/>
  <c r="H24" i="11"/>
  <c r="N6" i="11"/>
  <c r="M7" i="11"/>
  <c r="N7" i="11" l="1"/>
  <c r="O6" i="11"/>
  <c r="O7" i="11" l="1"/>
  <c r="P6" i="11"/>
  <c r="P5" i="11" l="1"/>
  <c r="Q6" i="11"/>
  <c r="P7" i="11"/>
  <c r="Q7" i="11" l="1"/>
  <c r="R6" i="11"/>
  <c r="R7" i="11" l="1"/>
  <c r="S6" i="11"/>
  <c r="T6" i="11" l="1"/>
  <c r="S7" i="11"/>
  <c r="T7" i="11" l="1"/>
  <c r="U6" i="11"/>
  <c r="U7" i="11" l="1"/>
  <c r="V6" i="11"/>
  <c r="V7" i="11" l="1"/>
  <c r="W6" i="11"/>
  <c r="X6" i="11" l="1"/>
  <c r="W7" i="11"/>
  <c r="W5" i="11"/>
  <c r="Y6" i="11" l="1"/>
  <c r="X7" i="11"/>
  <c r="Y7" i="11" l="1"/>
  <c r="Z6" i="11"/>
  <c r="Z7" i="11" l="1"/>
  <c r="AA6" i="11"/>
  <c r="AB6" i="11" l="1"/>
  <c r="AA7" i="11"/>
  <c r="AC6" i="11" l="1"/>
  <c r="AB7" i="11"/>
  <c r="AD6" i="11" l="1"/>
  <c r="AC7" i="11"/>
  <c r="AD5" i="11" l="1"/>
  <c r="AD7" i="11"/>
  <c r="AE6" i="11"/>
  <c r="AE7" i="11" l="1"/>
  <c r="AF6" i="11"/>
  <c r="AF7" i="11" l="1"/>
  <c r="AG6" i="11"/>
  <c r="AG7" i="11" l="1"/>
  <c r="AH6" i="11"/>
  <c r="AH7" i="11" l="1"/>
  <c r="AI6" i="11"/>
  <c r="AI7" i="11" l="1"/>
  <c r="AJ6" i="11"/>
  <c r="AJ7" i="11" l="1"/>
  <c r="AK6" i="11"/>
  <c r="AK7" i="11" l="1"/>
  <c r="AL6" i="11"/>
  <c r="AK5" i="11"/>
  <c r="AM6" i="11" l="1"/>
  <c r="AL7" i="11"/>
  <c r="AN6" i="11" l="1"/>
  <c r="AM7" i="11"/>
  <c r="AO6" i="11" l="1"/>
  <c r="AN7" i="11"/>
  <c r="AO7" i="11" l="1"/>
  <c r="AP6" i="11"/>
  <c r="AQ6" i="11" l="1"/>
  <c r="AP7" i="11"/>
  <c r="AR6" i="11" l="1"/>
  <c r="AQ7" i="11"/>
  <c r="AS6" i="11" l="1"/>
  <c r="AR7" i="11"/>
  <c r="AR5" i="11"/>
  <c r="AT6" i="11" l="1"/>
  <c r="AS7" i="11"/>
  <c r="AT7" i="11" l="1"/>
  <c r="AU6" i="11"/>
  <c r="AU7" i="11" l="1"/>
  <c r="AV6" i="11"/>
  <c r="AV7" i="11" l="1"/>
  <c r="AW6" i="11"/>
  <c r="AW7" i="11" l="1"/>
  <c r="AX6" i="11"/>
  <c r="AY6" i="11" l="1"/>
  <c r="AX7" i="11"/>
  <c r="AY7" i="11" l="1"/>
  <c r="AY5" i="11"/>
  <c r="AZ6" i="11"/>
  <c r="AZ7" i="11" l="1"/>
  <c r="BA6" i="11"/>
  <c r="BB6" i="11" l="1"/>
  <c r="BA7" i="11"/>
  <c r="BC6" i="11" l="1"/>
  <c r="BB7" i="11"/>
  <c r="BD6" i="11" l="1"/>
  <c r="BC7" i="11"/>
  <c r="BE6" i="11" l="1"/>
  <c r="BD7" i="11"/>
  <c r="BF6" i="11" l="1"/>
  <c r="BE7" i="11"/>
  <c r="BG6" i="11" l="1"/>
  <c r="BF7" i="11"/>
  <c r="BF5" i="11"/>
  <c r="BG7" i="11" l="1"/>
  <c r="BH6" i="11"/>
  <c r="BH7" i="11" l="1"/>
  <c r="BI6" i="11"/>
  <c r="BJ6" i="11" l="1"/>
  <c r="BI7" i="11"/>
  <c r="BJ7" i="11" l="1"/>
  <c r="BK6" i="11"/>
  <c r="BK7" i="11" l="1"/>
  <c r="BL6" i="11"/>
  <c r="BL7" i="11" l="1"/>
  <c r="BM6" i="11"/>
  <c r="BN6" i="11" l="1"/>
  <c r="BM5" i="11"/>
  <c r="BM7" i="11"/>
  <c r="BO6" i="11" l="1"/>
  <c r="BN7" i="11"/>
  <c r="BP6" i="11" l="1"/>
  <c r="BO7" i="11"/>
  <c r="BP7" i="11" l="1"/>
  <c r="BQ6" i="11"/>
  <c r="BQ7" i="11" l="1"/>
  <c r="BR6" i="11"/>
  <c r="BS6" i="11" l="1"/>
  <c r="BR7" i="11"/>
  <c r="BT6" i="11" l="1"/>
  <c r="BS7" i="11"/>
  <c r="BT5" i="11" l="1"/>
  <c r="BU6" i="11"/>
  <c r="BT7" i="11"/>
  <c r="BV6" i="11" l="1"/>
  <c r="BU7" i="11"/>
  <c r="BV7" i="11" l="1"/>
  <c r="BW6" i="11"/>
  <c r="BW7" i="11" l="1"/>
  <c r="BX6" i="11"/>
  <c r="BX7" i="11" l="1"/>
  <c r="BY6" i="11"/>
  <c r="BY7" i="11" l="1"/>
  <c r="BZ6" i="11"/>
  <c r="BZ7" i="11" l="1"/>
  <c r="CA6" i="11"/>
  <c r="CA7" i="11" l="1"/>
  <c r="CB6" i="11"/>
  <c r="CA5" i="11"/>
  <c r="CB7" i="11" l="1"/>
  <c r="CC6" i="11"/>
  <c r="CC7" i="11" l="1"/>
  <c r="CD6" i="11"/>
  <c r="CD7" i="11" l="1"/>
  <c r="CE6" i="11"/>
  <c r="CE7" i="11" l="1"/>
  <c r="CF6" i="11"/>
  <c r="CF7" i="11" l="1"/>
  <c r="CG6" i="11"/>
  <c r="CG7" i="11" l="1"/>
  <c r="CH6" i="11"/>
  <c r="CH7" i="11" l="1"/>
  <c r="CH5" i="11"/>
  <c r="CI6" i="11"/>
  <c r="CI7" i="11" l="1"/>
  <c r="CJ6" i="11"/>
  <c r="CJ7" i="11" l="1"/>
  <c r="CK6" i="11"/>
  <c r="CK7" i="11" l="1"/>
  <c r="CL6" i="11"/>
  <c r="CM6" i="11" l="1"/>
  <c r="CL7" i="11"/>
  <c r="CM7" i="11" l="1"/>
  <c r="CN6" i="11"/>
  <c r="CN7" i="11" l="1"/>
  <c r="CO6" i="11"/>
  <c r="CO7" i="11" l="1"/>
  <c r="CP6" i="11"/>
  <c r="CO5" i="11"/>
  <c r="CP7" i="11" l="1"/>
  <c r="CQ6" i="11"/>
  <c r="CQ7" i="11" l="1"/>
  <c r="CR6" i="11"/>
  <c r="CR7" i="11" l="1"/>
  <c r="CS6" i="11"/>
  <c r="CT6" i="11" l="1"/>
  <c r="CS7" i="11"/>
  <c r="CT7" i="11" l="1"/>
  <c r="CU6" i="11"/>
  <c r="CU7" i="11" l="1"/>
  <c r="CV6" i="11"/>
  <c r="CV7" i="11" l="1"/>
  <c r="CV5" i="11"/>
  <c r="CW6" i="11"/>
  <c r="CW7" i="11" l="1"/>
  <c r="CX6" i="11"/>
  <c r="CX7" i="11" l="1"/>
  <c r="CY6" i="11"/>
  <c r="CY7" i="11" l="1"/>
  <c r="CZ6" i="11"/>
  <c r="CZ7" i="11" l="1"/>
  <c r="DA6" i="11"/>
  <c r="DA7" i="11" l="1"/>
  <c r="DB6" i="11"/>
  <c r="DB7" i="11" l="1"/>
  <c r="DC6" i="11"/>
  <c r="DC7" i="11" l="1"/>
  <c r="DD6" i="11"/>
  <c r="DC5" i="11"/>
  <c r="DD7" i="11" l="1"/>
  <c r="DE6" i="11"/>
  <c r="DE7" i="11" l="1"/>
  <c r="DF6" i="11"/>
  <c r="DF7" i="11" l="1"/>
  <c r="DG6" i="11"/>
  <c r="DG7" i="11" l="1"/>
  <c r="DH6" i="11"/>
  <c r="DH7" i="11" l="1"/>
  <c r="DI6" i="11"/>
  <c r="DI7" i="11" l="1"/>
  <c r="DJ6" i="11"/>
  <c r="DJ7" i="11" l="1"/>
  <c r="DK6" i="11"/>
  <c r="DJ5" i="11"/>
  <c r="DK7" i="11" l="1"/>
  <c r="DL6" i="11"/>
  <c r="DL7" i="11" l="1"/>
  <c r="DM6" i="11"/>
  <c r="DM7" i="11" l="1"/>
  <c r="DN6" i="11"/>
  <c r="DN7" i="11" l="1"/>
  <c r="DO6" i="11"/>
  <c r="DO7" i="11" l="1"/>
  <c r="DP6" i="11"/>
  <c r="DP7" i="11" l="1"/>
  <c r="DQ6" i="11"/>
  <c r="DQ7" i="11" l="1"/>
  <c r="DR6" i="11"/>
  <c r="DQ5" i="11"/>
  <c r="DR7" i="11" l="1"/>
  <c r="DS6" i="11"/>
  <c r="DS7" i="11" l="1"/>
  <c r="DT6" i="11"/>
  <c r="DT7" i="11" l="1"/>
  <c r="DU6" i="11"/>
  <c r="DU7" i="11" l="1"/>
  <c r="DV6" i="11"/>
  <c r="DV7" i="11" l="1"/>
  <c r="DW6" i="11"/>
  <c r="DW7" i="11" l="1"/>
  <c r="DX6" i="11"/>
  <c r="DX7" i="11" l="1"/>
  <c r="DX5" i="11"/>
  <c r="DY6" i="11"/>
  <c r="DY7" i="11" l="1"/>
  <c r="DZ6" i="11"/>
  <c r="DZ7" i="11" l="1"/>
  <c r="EA6" i="11"/>
  <c r="EA7" i="11" l="1"/>
  <c r="EB6" i="11"/>
  <c r="EB7" i="11" l="1"/>
  <c r="EC6" i="11"/>
  <c r="EC7" i="11" l="1"/>
  <c r="ED6" i="11"/>
  <c r="ED7" i="11" l="1"/>
  <c r="EE6" i="11"/>
  <c r="EE7" i="11" l="1"/>
  <c r="EE5" i="11"/>
  <c r="EF6" i="11"/>
  <c r="EF7" i="11" l="1"/>
  <c r="EG6" i="11"/>
  <c r="EG7" i="11" l="1"/>
  <c r="EH6" i="11"/>
  <c r="EH7" i="11" l="1"/>
  <c r="EI6" i="11"/>
  <c r="EI7" i="11" l="1"/>
  <c r="EJ6" i="11"/>
  <c r="EJ7" i="11" l="1"/>
  <c r="EK6" i="11"/>
  <c r="EK7" i="11" l="1"/>
  <c r="EL6" i="11"/>
  <c r="EL7" i="11" l="1"/>
  <c r="EM6" i="11"/>
  <c r="EL5" i="11"/>
  <c r="EM7" i="11" l="1"/>
  <c r="EN6" i="11"/>
  <c r="EN7" i="11" l="1"/>
  <c r="EO6" i="11"/>
  <c r="EO7" i="11" l="1"/>
  <c r="EP6" i="11"/>
  <c r="EP7" i="11" l="1"/>
  <c r="EQ6" i="11"/>
  <c r="ER6" i="11" l="1"/>
  <c r="EQ7" i="11"/>
  <c r="ER7" i="11" l="1"/>
  <c r="ES6" i="11"/>
  <c r="ES7" i="11" l="1"/>
  <c r="ES5" i="11"/>
  <c r="ET6" i="11"/>
  <c r="ET7" i="11" l="1"/>
  <c r="EU6" i="11"/>
  <c r="EU7" i="11" l="1"/>
  <c r="EV6" i="11"/>
  <c r="EV7" i="11" l="1"/>
  <c r="EW6" i="11"/>
  <c r="EW7" i="11" l="1"/>
  <c r="EX6" i="11"/>
  <c r="EX7" i="11" l="1"/>
  <c r="EY6" i="11"/>
  <c r="EY7" i="11" l="1"/>
  <c r="EZ6" i="11"/>
  <c r="EZ7" i="11" l="1"/>
  <c r="FA6" i="11"/>
  <c r="EZ5" i="11"/>
  <c r="FA7" i="11" l="1"/>
  <c r="FB6" i="11"/>
  <c r="FC6" i="11" l="1"/>
  <c r="FB7" i="11"/>
  <c r="FC7" i="11" l="1"/>
  <c r="FD6" i="11"/>
  <c r="FD7" i="11" l="1"/>
  <c r="FE6" i="11"/>
  <c r="FE7" i="11" l="1"/>
  <c r="FF6" i="11"/>
  <c r="FF7" i="11" l="1"/>
  <c r="FG6" i="11"/>
  <c r="FG7" i="11" l="1"/>
  <c r="FH6" i="11"/>
  <c r="FG5" i="11"/>
  <c r="FH7" i="11" l="1"/>
  <c r="FI6" i="11"/>
  <c r="FI7" i="11" l="1"/>
  <c r="FJ6" i="11"/>
  <c r="FJ7" i="11" l="1"/>
  <c r="FK6" i="11"/>
  <c r="FK7" i="11" l="1"/>
  <c r="FL6" i="11"/>
  <c r="FL7" i="11" l="1"/>
  <c r="FM6" i="11"/>
  <c r="FM7" i="11" l="1"/>
  <c r="FN6" i="11"/>
  <c r="FN7" i="11" l="1"/>
  <c r="FO6" i="11"/>
  <c r="FN5" i="11"/>
  <c r="FO7" i="11" l="1"/>
  <c r="FP6" i="11"/>
  <c r="FP7" i="11" l="1"/>
  <c r="FQ6" i="11"/>
  <c r="FQ7" i="11" l="1"/>
  <c r="FR6" i="11"/>
  <c r="FR7" i="11" l="1"/>
  <c r="FS6" i="11"/>
  <c r="FS7" i="11" l="1"/>
  <c r="FT6" i="11"/>
  <c r="FT7" i="11" l="1"/>
  <c r="FU6" i="11"/>
  <c r="FU7" i="11" l="1"/>
  <c r="FU5" i="11"/>
  <c r="FV6" i="11"/>
  <c r="FV7" i="11" l="1"/>
  <c r="FW6" i="11"/>
  <c r="FW7" i="11" l="1"/>
  <c r="FX6" i="11"/>
  <c r="FX7" i="11" l="1"/>
  <c r="FY6" i="11"/>
  <c r="FY7" i="11" l="1"/>
  <c r="FZ6" i="11"/>
  <c r="FZ7" i="11" l="1"/>
  <c r="GA6" i="11"/>
  <c r="GB6" i="11" l="1"/>
  <c r="GA7" i="11"/>
  <c r="GB7" i="11" l="1"/>
  <c r="GB5" i="11"/>
  <c r="GC6" i="11"/>
  <c r="GC7" i="11" l="1"/>
  <c r="GD6" i="11"/>
  <c r="GD7" i="11" l="1"/>
  <c r="GE6" i="11"/>
  <c r="GE7" i="11" l="1"/>
  <c r="GF6" i="11"/>
  <c r="GF7" i="11" l="1"/>
  <c r="GG6" i="11"/>
  <c r="GG7" i="11" l="1"/>
  <c r="GH6" i="11"/>
  <c r="GH7" i="11" l="1"/>
  <c r="GI6" i="11"/>
  <c r="GI7" i="11" l="1"/>
  <c r="GI5" i="11"/>
  <c r="GJ6" i="11"/>
  <c r="GJ7" i="11" l="1"/>
  <c r="GK6" i="11"/>
  <c r="GK7" i="11" l="1"/>
  <c r="GL6" i="11"/>
  <c r="GL7" i="11" l="1"/>
  <c r="GM6" i="11"/>
  <c r="GM7" i="11" l="1"/>
  <c r="GN6" i="11"/>
  <c r="GO6" i="11" l="1"/>
  <c r="GN7" i="11"/>
  <c r="GO7" i="11" l="1"/>
  <c r="GP6" i="11"/>
  <c r="GP7" i="11" l="1"/>
  <c r="GP5" i="11"/>
  <c r="GQ6" i="11"/>
  <c r="GQ7" i="11" l="1"/>
  <c r="GR6" i="11"/>
  <c r="GR7" i="11" l="1"/>
  <c r="GS6" i="11"/>
  <c r="GS7" i="11" l="1"/>
  <c r="GT6" i="11"/>
  <c r="GT7" i="11" l="1"/>
  <c r="GU6" i="11"/>
  <c r="GU7" i="11" l="1"/>
  <c r="GV6" i="11"/>
  <c r="GV7" i="11" l="1"/>
  <c r="GW6" i="11"/>
  <c r="GW7" i="11" l="1"/>
  <c r="GW5" i="11"/>
  <c r="GX6" i="11"/>
  <c r="GX7" i="11" l="1"/>
  <c r="GY6" i="11"/>
  <c r="GY7" i="11" l="1"/>
  <c r="GZ6" i="11"/>
  <c r="GZ7" i="11" l="1"/>
  <c r="HA6" i="11"/>
  <c r="HA7" i="11" l="1"/>
  <c r="HB6" i="11"/>
  <c r="HB7" i="11" l="1"/>
  <c r="HC6" i="11"/>
  <c r="HC7" i="11" l="1"/>
  <c r="HD6" i="11"/>
  <c r="HD7" i="11" l="1"/>
  <c r="HD5" i="11"/>
  <c r="HE6" i="11"/>
  <c r="HE7" i="11" l="1"/>
  <c r="HF6" i="11"/>
  <c r="HF7" i="11" l="1"/>
  <c r="HG6" i="11"/>
  <c r="HG7" i="11" l="1"/>
  <c r="HH6" i="11"/>
  <c r="HH7" i="11" l="1"/>
  <c r="HI6" i="11"/>
  <c r="HI7" i="11" l="1"/>
  <c r="HJ6" i="11"/>
  <c r="HJ7" i="11" s="1"/>
</calcChain>
</file>

<file path=xl/sharedStrings.xml><?xml version="1.0" encoding="utf-8"?>
<sst xmlns="http://schemas.openxmlformats.org/spreadsheetml/2006/main" count="83" uniqueCount="71">
  <si>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</si>
  <si>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</si>
  <si>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</si>
  <si>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</si>
  <si>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</si>
  <si>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</si>
  <si>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</si>
  <si>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</si>
  <si>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</si>
  <si>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</si>
  <si>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</si>
  <si>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Exemple de bloc de titre de phase</t>
  </si>
  <si>
    <t>TÂCHE</t>
  </si>
  <si>
    <t>Début du projet :</t>
  </si>
  <si>
    <t>Semaine d’affichage :</t>
  </si>
  <si>
    <t>ATTRIBUÉE
À</t>
  </si>
  <si>
    <t>AVANCEMENT</t>
  </si>
  <si>
    <t>DÉBUT</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</si>
  <si>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</si>
  <si>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</si>
  <si>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</si>
  <si>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</si>
  <si>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</si>
  <si>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</si>
  <si>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</si>
  <si>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</si>
  <si>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</si>
  <si>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</si>
  <si>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</si>
  <si>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</si>
  <si>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</si>
  <si>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</si>
  <si>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</si>
  <si>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</si>
  <si>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</si>
  <si>
    <t>Réflexion</t>
  </si>
  <si>
    <t>BONHOMME Benjamin</t>
  </si>
  <si>
    <t>MARGOLLÉ Jules</t>
  </si>
  <si>
    <t>PINOTEAUX Alexis</t>
  </si>
  <si>
    <t>VERGNIOLE Yohann</t>
  </si>
  <si>
    <t>Groupe</t>
  </si>
  <si>
    <t>Chaîne de tri</t>
  </si>
  <si>
    <t>Objectifs</t>
  </si>
  <si>
    <t>Rédaction dossier</t>
  </si>
  <si>
    <t>Idées</t>
  </si>
  <si>
    <t>Contraintes</t>
  </si>
  <si>
    <t>Recherche équipements</t>
  </si>
  <si>
    <t>Documentation technique</t>
  </si>
  <si>
    <t>Composants électroniques</t>
  </si>
  <si>
    <t>Modélisation 3D</t>
  </si>
  <si>
    <t>Langage de développement</t>
  </si>
  <si>
    <t>Alimentation électrique</t>
  </si>
  <si>
    <t>Alexis</t>
  </si>
  <si>
    <t>Alexis - Yohann - Jules</t>
  </si>
  <si>
    <t>Alexis - Benjamin</t>
  </si>
  <si>
    <t>Benjamin - Jules - Yohann</t>
  </si>
  <si>
    <t>Prototypage</t>
  </si>
  <si>
    <t>Impression 3D</t>
  </si>
  <si>
    <t>Programmation</t>
  </si>
  <si>
    <t>Montage</t>
  </si>
  <si>
    <t>Essais</t>
  </si>
  <si>
    <t>Amélioration</t>
  </si>
  <si>
    <t>Jules - Alexis - Yohann</t>
  </si>
  <si>
    <t>Compte rendu</t>
  </si>
  <si>
    <t>Rapport Technique</t>
  </si>
  <si>
    <t>Fiches pédagogiques</t>
  </si>
  <si>
    <t>Poster</t>
  </si>
  <si>
    <t>Présentation vidéo</t>
  </si>
  <si>
    <t>Benjamin</t>
  </si>
  <si>
    <t>Jules - Yohann</t>
  </si>
  <si>
    <t>idées modélisation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</si>
</sst>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d/m/yy;@"/>
    <numFmt numFmtId="168" formatCode="d\ mmm\ yyyy"/>
    <numFmt numFmtId="169" formatCode="d"/>
  </numFmts>
  <fonts count="36"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26"/>
      <color theme="1" tint="0.34998626667073579"/>
      <name val="Calibri"/>
      <family val="2"/>
      <scheme val="major"/>
    </font>
  </fonts>
  <fills count="4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tint="-0.14999847407452621"/>
      </left>
      <right style="medium">
        <color theme="0" tint="-0.14999847407452621"/>
      </right>
      <top style="medium">
        <color theme="0" tint="-0.14999847407452621"/>
      </top>
      <bottom style="medium">
        <color theme="0" tint="-0.14999847407452621"/>
      </bottom>
      <diagonal/>
    </border>
    <border>
      <left style="thin">
        <color theme="0" tint="-0.14993743705557422"/>
      </left>
      <right style="thin">
        <color theme="0" tint="-0.14993743705557422"/>
      </right>
      <top style="medium">
        <color theme="0" tint="-0.14996795556505021"/>
      </top>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20"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6" fontId="7" fillId="0" borderId="3">
      <alignment horizontal="center" vertical="center"/>
    </xf>
    <xf numFmtId="167"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23"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24" fillId="0" borderId="0" applyNumberFormat="0" applyFill="0" applyBorder="0" applyAlignment="0" applyProtection="0"/>
    <xf numFmtId="0" fontId="25" fillId="13" borderId="0" applyNumberFormat="0" applyBorder="0" applyAlignment="0" applyProtection="0"/>
    <xf numFmtId="0" fontId="26" fillId="14" borderId="0" applyNumberFormat="0" applyBorder="0" applyAlignment="0" applyProtection="0"/>
    <xf numFmtId="0" fontId="27" fillId="15" borderId="0" applyNumberFormat="0" applyBorder="0" applyAlignment="0" applyProtection="0"/>
    <xf numFmtId="0" fontId="28" fillId="16" borderId="10" applyNumberFormat="0" applyAlignment="0" applyProtection="0"/>
    <xf numFmtId="0" fontId="29" fillId="17" borderId="11" applyNumberFormat="0" applyAlignment="0" applyProtection="0"/>
    <xf numFmtId="0" fontId="30" fillId="17" borderId="10" applyNumberFormat="0" applyAlignment="0" applyProtection="0"/>
    <xf numFmtId="0" fontId="31" fillId="0" borderId="12" applyNumberFormat="0" applyFill="0" applyAlignment="0" applyProtection="0"/>
    <xf numFmtId="0" fontId="32" fillId="18" borderId="13" applyNumberFormat="0" applyAlignment="0" applyProtection="0"/>
    <xf numFmtId="0" fontId="33" fillId="0" borderId="0" applyNumberFormat="0" applyFill="0" applyBorder="0" applyAlignment="0" applyProtection="0"/>
    <xf numFmtId="0" fontId="7" fillId="19" borderId="14" applyNumberFormat="0" applyFont="0" applyAlignment="0" applyProtection="0"/>
    <xf numFmtId="0" fontId="34" fillId="0" borderId="0" applyNumberFormat="0" applyFill="0" applyBorder="0" applyAlignment="0" applyProtection="0"/>
    <xf numFmtId="0" fontId="5" fillId="0" borderId="15" applyNumberFormat="0" applyFill="0" applyAlignment="0" applyProtection="0"/>
    <xf numFmtId="0" fontId="20"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0"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0"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0"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20"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20"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cellStyleXfs>
  <cellXfs count="8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2" borderId="1" xfId="0" applyFont="1" applyFill="1" applyBorder="1" applyAlignment="1">
      <alignment horizontal="left" vertical="center" indent="1"/>
    </xf>
    <xf numFmtId="0" fontId="6" fillId="12" borderId="1" xfId="0" applyFont="1" applyFill="1" applyBorder="1" applyAlignment="1">
      <alignment horizontal="center" vertical="center" wrapText="1"/>
    </xf>
    <xf numFmtId="0" fontId="10" fillId="11" borderId="8" xfId="0" applyFont="1" applyFill="1" applyBorder="1" applyAlignment="1">
      <alignment horizontal="center" vertical="center" shrinkToFit="1"/>
    </xf>
    <xf numFmtId="0" fontId="12" fillId="0" borderId="0" xfId="0" applyFont="1"/>
    <xf numFmtId="0" fontId="13" fillId="0" borderId="0" xfId="1" applyFont="1" applyAlignment="1" applyProtection="1"/>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9" borderId="2" xfId="2"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top"/>
    </xf>
    <xf numFmtId="0" fontId="14" fillId="0" borderId="0" xfId="0" applyFont="1" applyAlignment="1">
      <alignment horizontal="left" vertical="center"/>
    </xf>
    <xf numFmtId="0" fontId="15" fillId="0" borderId="0" xfId="0" applyFont="1" applyAlignment="1">
      <alignment horizontal="left" vertical="center"/>
    </xf>
    <xf numFmtId="0" fontId="17" fillId="0" borderId="0" xfId="0" applyFont="1"/>
    <xf numFmtId="0" fontId="19" fillId="0" borderId="0" xfId="0" applyFont="1" applyAlignment="1">
      <alignment vertical="center"/>
    </xf>
    <xf numFmtId="0" fontId="18" fillId="0" borderId="0" xfId="0" applyFont="1" applyAlignment="1">
      <alignment horizontal="left" vertical="top" wrapText="1" indent="1"/>
    </xf>
    <xf numFmtId="0" fontId="2" fillId="0" borderId="0" xfId="0" applyFont="1" applyAlignment="1">
      <alignment horizontal="left" vertical="top"/>
    </xf>
    <xf numFmtId="0" fontId="16"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0" fillId="0" borderId="0" xfId="3"/>
    <xf numFmtId="0" fontId="20" fillId="0" borderId="0" xfId="3" applyAlignment="1">
      <alignment wrapText="1"/>
    </xf>
    <xf numFmtId="0" fontId="20" fillId="0" borderId="0" xfId="0" applyFont="1" applyAlignment="1">
      <alignment horizontal="center"/>
    </xf>
    <xf numFmtId="0" fontId="0" fillId="0" borderId="0" xfId="0" applyAlignment="1">
      <alignment wrapText="1"/>
    </xf>
    <xf numFmtId="0" fontId="7" fillId="7" borderId="2" xfId="11" applyFill="1">
      <alignment horizontal="center" vertical="center"/>
    </xf>
    <xf numFmtId="0" fontId="7" fillId="2" borderId="2" xfId="11" applyFill="1">
      <alignment horizontal="center" vertical="center"/>
    </xf>
    <xf numFmtId="0" fontId="7" fillId="8" borderId="2" xfId="11" applyFill="1">
      <alignment horizontal="center" vertical="center"/>
    </xf>
    <xf numFmtId="0" fontId="7" fillId="3" borderId="2" xfId="11" applyFill="1">
      <alignment horizontal="center" vertical="center"/>
    </xf>
    <xf numFmtId="0" fontId="7" fillId="5" borderId="2" xfId="11" applyFill="1">
      <alignment horizontal="center" vertical="center"/>
    </xf>
    <xf numFmtId="0" fontId="7" fillId="10" borderId="2" xfId="11" applyFill="1">
      <alignment horizontal="center" vertical="center"/>
    </xf>
    <xf numFmtId="0" fontId="7" fillId="4" borderId="2" xfId="11" applyFill="1">
      <alignment horizontal="center" vertical="center"/>
    </xf>
    <xf numFmtId="0" fontId="7" fillId="9"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10" borderId="2" xfId="12" applyFill="1">
      <alignment horizontal="left" vertical="center" indent="2"/>
    </xf>
    <xf numFmtId="0" fontId="7" fillId="9" borderId="2" xfId="12" applyFill="1">
      <alignment horizontal="left" vertical="center" indent="2"/>
    </xf>
    <xf numFmtId="0" fontId="0" fillId="0" borderId="9" xfId="0" applyBorder="1"/>
    <xf numFmtId="0" fontId="21" fillId="0" borderId="0" xfId="0" applyFont="1"/>
    <xf numFmtId="0" fontId="22" fillId="0" borderId="0" xfId="1" applyFont="1" applyProtection="1">
      <alignment vertical="top"/>
    </xf>
    <xf numFmtId="0" fontId="4" fillId="0" borderId="0" xfId="0" applyFont="1" applyAlignment="1">
      <alignment vertical="top"/>
    </xf>
    <xf numFmtId="167" fontId="0" fillId="7" borderId="2" xfId="0" applyNumberFormat="1" applyFill="1" applyBorder="1" applyAlignment="1">
      <alignment horizontal="center" vertical="center"/>
    </xf>
    <xf numFmtId="167" fontId="4" fillId="7" borderId="2" xfId="0" applyNumberFormat="1" applyFont="1" applyFill="1" applyBorder="1" applyAlignment="1">
      <alignment horizontal="center" vertical="center"/>
    </xf>
    <xf numFmtId="167" fontId="7" fillId="2" borderId="2" xfId="10" applyFill="1">
      <alignment horizontal="center" vertical="center"/>
    </xf>
    <xf numFmtId="167" fontId="0" fillId="8" borderId="2" xfId="0" applyNumberFormat="1" applyFill="1" applyBorder="1" applyAlignment="1">
      <alignment horizontal="center" vertical="center"/>
    </xf>
    <xf numFmtId="167" fontId="4" fillId="8" borderId="2" xfId="0" applyNumberFormat="1" applyFont="1" applyFill="1" applyBorder="1" applyAlignment="1">
      <alignment horizontal="center" vertical="center"/>
    </xf>
    <xf numFmtId="167" fontId="7" fillId="3" borderId="2" xfId="10" applyFill="1">
      <alignment horizontal="center" vertical="center"/>
    </xf>
    <xf numFmtId="167" fontId="0" fillId="5" borderId="2" xfId="0" applyNumberFormat="1" applyFill="1" applyBorder="1" applyAlignment="1">
      <alignment horizontal="center" vertical="center"/>
    </xf>
    <xf numFmtId="167" fontId="4" fillId="5" borderId="2" xfId="0" applyNumberFormat="1" applyFont="1" applyFill="1" applyBorder="1" applyAlignment="1">
      <alignment horizontal="center" vertical="center"/>
    </xf>
    <xf numFmtId="167" fontId="7" fillId="10" borderId="2" xfId="10" applyFill="1">
      <alignment horizontal="center" vertical="center"/>
    </xf>
    <xf numFmtId="167" fontId="0" fillId="4" borderId="2" xfId="0" applyNumberFormat="1" applyFill="1" applyBorder="1" applyAlignment="1">
      <alignment horizontal="center" vertical="center"/>
    </xf>
    <xf numFmtId="167" fontId="4" fillId="4" borderId="2" xfId="0" applyNumberFormat="1" applyFont="1" applyFill="1" applyBorder="1" applyAlignment="1">
      <alignment horizontal="center" vertical="center"/>
    </xf>
    <xf numFmtId="167" fontId="7" fillId="9" borderId="2" xfId="10" applyFill="1">
      <alignment horizontal="center" vertical="center"/>
    </xf>
    <xf numFmtId="169" fontId="9" fillId="6" borderId="6" xfId="0" applyNumberFormat="1" applyFont="1" applyFill="1" applyBorder="1" applyAlignment="1">
      <alignment horizontal="center" vertical="center"/>
    </xf>
    <xf numFmtId="169" fontId="9" fillId="6" borderId="0" xfId="0" applyNumberFormat="1" applyFont="1" applyFill="1" applyAlignment="1">
      <alignment horizontal="center" vertical="center"/>
    </xf>
    <xf numFmtId="169" fontId="9" fillId="6" borderId="7" xfId="0" applyNumberFormat="1" applyFont="1" applyFill="1" applyBorder="1" applyAlignment="1">
      <alignment horizontal="center" vertical="center"/>
    </xf>
    <xf numFmtId="0" fontId="8" fillId="0" borderId="0" xfId="7" applyAlignment="1">
      <alignment horizontal="left"/>
    </xf>
    <xf numFmtId="0" fontId="35" fillId="0" borderId="0" xfId="5" applyFont="1" applyAlignment="1">
      <alignment horizontal="left" vertical="top"/>
    </xf>
    <xf numFmtId="0" fontId="0" fillId="0" borderId="16" xfId="0" applyBorder="1" applyAlignment="1">
      <alignment vertical="center"/>
    </xf>
    <xf numFmtId="0" fontId="0" fillId="0" borderId="17" xfId="0" applyBorder="1" applyAlignment="1">
      <alignment vertical="center"/>
    </xf>
    <xf numFmtId="0" fontId="4" fillId="0" borderId="16" xfId="0" applyFont="1" applyBorder="1" applyAlignment="1">
      <alignment horizontal="center" vertical="center"/>
    </xf>
    <xf numFmtId="0" fontId="0" fillId="0" borderId="16" xfId="0" applyBorder="1" applyAlignment="1">
      <alignment horizontal="right" vertical="center"/>
    </xf>
    <xf numFmtId="168" fontId="0" fillId="6" borderId="4" xfId="0" applyNumberFormat="1" applyFill="1" applyBorder="1" applyAlignment="1">
      <alignment horizontal="left" vertical="center" wrapText="1" indent="1"/>
    </xf>
    <xf numFmtId="168" fontId="0" fillId="6" borderId="1" xfId="0" applyNumberFormat="1" applyFill="1" applyBorder="1" applyAlignment="1">
      <alignment horizontal="left" vertical="center" wrapText="1" indent="1"/>
    </xf>
    <xf numFmtId="168" fontId="0" fillId="6" borderId="5" xfId="0" applyNumberFormat="1" applyFill="1" applyBorder="1" applyAlignment="1">
      <alignment horizontal="left" vertical="center" wrapText="1" indent="1"/>
    </xf>
    <xf numFmtId="0" fontId="7" fillId="0" borderId="0" xfId="8">
      <alignment horizontal="right" indent="1"/>
    </xf>
    <xf numFmtId="0" fontId="7" fillId="0" borderId="7" xfId="8" applyBorder="1">
      <alignment horizontal="right" indent="1"/>
    </xf>
    <xf numFmtId="166" fontId="7" fillId="0" borderId="3" xfId="9">
      <alignment horizontal="center"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154">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53"/>
      <tableStyleElement type="headerRow" dxfId="152"/>
      <tableStyleElement type="totalRow" dxfId="151"/>
      <tableStyleElement type="firstColumn" dxfId="150"/>
      <tableStyleElement type="lastColumn" dxfId="149"/>
      <tableStyleElement type="firstRowStripe" dxfId="148"/>
      <tableStyleElement type="secondRowStripe" dxfId="147"/>
      <tableStyleElement type="firstColumnStripe" dxfId="146"/>
      <tableStyleElement type="secondColumnStripe" dxfId="14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J34"/>
  <sheetViews>
    <sheetView showGridLines="0" tabSelected="1" showRuler="0" topLeftCell="B1" zoomScaleNormal="90" zoomScalePageLayoutView="70" workbookViewId="0">
      <pane ySplit="7" topLeftCell="A23" activePane="bottomLeft" state="frozen"/>
      <selection pane="bottomLeft" activeCell="E22" sqref="E22"/>
    </sheetView>
  </sheetViews>
  <sheetFormatPr baseColWidth="10" defaultColWidth="9.140625" defaultRowHeight="30" customHeight="1" x14ac:dyDescent="0.25"/>
  <cols>
    <col min="1" max="1" width="2.7109375" style="36" customWidth="1"/>
    <col min="2" max="2" width="23.140625" customWidth="1"/>
    <col min="3" max="3" width="32.85546875" customWidth="1"/>
    <col min="4" max="4" width="12.7109375" customWidth="1"/>
    <col min="5" max="5" width="10.42578125" style="5" customWidth="1"/>
    <col min="6" max="6" width="10.42578125" customWidth="1"/>
    <col min="7" max="7" width="2.7109375" customWidth="1"/>
    <col min="8" max="8" width="9.42578125" hidden="1" customWidth="1"/>
    <col min="9" max="218" width="2.42578125" customWidth="1"/>
  </cols>
  <sheetData>
    <row r="1" spans="1:218" ht="30" customHeight="1" x14ac:dyDescent="0.25">
      <c r="B1" s="72" t="s">
        <v>41</v>
      </c>
    </row>
    <row r="2" spans="1:218" ht="30" customHeight="1" x14ac:dyDescent="0.4">
      <c r="A2" s="37" t="s">
        <v>0</v>
      </c>
      <c r="B2" s="71" t="s">
        <v>36</v>
      </c>
      <c r="C2" s="1"/>
      <c r="D2" s="2"/>
      <c r="E2" s="4"/>
      <c r="F2" s="25"/>
      <c r="H2" s="2"/>
      <c r="I2" s="53"/>
    </row>
    <row r="3" spans="1:218" ht="30" customHeight="1" x14ac:dyDescent="0.3">
      <c r="A3" s="36" t="s">
        <v>1</v>
      </c>
      <c r="B3" s="71" t="s">
        <v>37</v>
      </c>
      <c r="I3" s="54"/>
    </row>
    <row r="4" spans="1:218" ht="30" customHeight="1" x14ac:dyDescent="0.3">
      <c r="A4" s="36" t="s">
        <v>2</v>
      </c>
      <c r="B4" s="71" t="s">
        <v>38</v>
      </c>
      <c r="C4" s="80" t="s">
        <v>13</v>
      </c>
      <c r="D4" s="81"/>
      <c r="E4" s="82">
        <v>45243</v>
      </c>
      <c r="F4" s="82"/>
    </row>
    <row r="5" spans="1:218" ht="30" customHeight="1" x14ac:dyDescent="0.3">
      <c r="A5" s="37" t="s">
        <v>3</v>
      </c>
      <c r="B5" s="71" t="s">
        <v>39</v>
      </c>
      <c r="C5" s="80" t="s">
        <v>14</v>
      </c>
      <c r="D5" s="81"/>
      <c r="E5" s="7">
        <v>1</v>
      </c>
      <c r="I5" s="77">
        <f>I6</f>
        <v>45243</v>
      </c>
      <c r="J5" s="78"/>
      <c r="K5" s="78"/>
      <c r="L5" s="78"/>
      <c r="M5" s="78"/>
      <c r="N5" s="78"/>
      <c r="O5" s="79"/>
      <c r="P5" s="77">
        <f>P6</f>
        <v>45250</v>
      </c>
      <c r="Q5" s="78"/>
      <c r="R5" s="78"/>
      <c r="S5" s="78"/>
      <c r="T5" s="78"/>
      <c r="U5" s="78"/>
      <c r="V5" s="79"/>
      <c r="W5" s="77">
        <f>W6</f>
        <v>45257</v>
      </c>
      <c r="X5" s="78"/>
      <c r="Y5" s="78"/>
      <c r="Z5" s="78"/>
      <c r="AA5" s="78"/>
      <c r="AB5" s="78"/>
      <c r="AC5" s="79"/>
      <c r="AD5" s="77">
        <f>AD6</f>
        <v>45264</v>
      </c>
      <c r="AE5" s="78"/>
      <c r="AF5" s="78"/>
      <c r="AG5" s="78"/>
      <c r="AH5" s="78"/>
      <c r="AI5" s="78"/>
      <c r="AJ5" s="79"/>
      <c r="AK5" s="77">
        <f>AK6</f>
        <v>45271</v>
      </c>
      <c r="AL5" s="78"/>
      <c r="AM5" s="78"/>
      <c r="AN5" s="78"/>
      <c r="AO5" s="78"/>
      <c r="AP5" s="78"/>
      <c r="AQ5" s="79"/>
      <c r="AR5" s="77">
        <f>AR6</f>
        <v>45278</v>
      </c>
      <c r="AS5" s="78"/>
      <c r="AT5" s="78"/>
      <c r="AU5" s="78"/>
      <c r="AV5" s="78"/>
      <c r="AW5" s="78"/>
      <c r="AX5" s="79"/>
      <c r="AY5" s="77">
        <f>AY6</f>
        <v>45285</v>
      </c>
      <c r="AZ5" s="78"/>
      <c r="BA5" s="78"/>
      <c r="BB5" s="78"/>
      <c r="BC5" s="78"/>
      <c r="BD5" s="78"/>
      <c r="BE5" s="79"/>
      <c r="BF5" s="77">
        <f>BF6</f>
        <v>45292</v>
      </c>
      <c r="BG5" s="78"/>
      <c r="BH5" s="78"/>
      <c r="BI5" s="78"/>
      <c r="BJ5" s="78"/>
      <c r="BK5" s="78"/>
      <c r="BL5" s="79"/>
      <c r="BM5" s="77">
        <f t="shared" ref="BM5" si="0">BM6</f>
        <v>45299</v>
      </c>
      <c r="BN5" s="78"/>
      <c r="BO5" s="78"/>
      <c r="BP5" s="78"/>
      <c r="BQ5" s="78"/>
      <c r="BR5" s="78"/>
      <c r="BS5" s="79"/>
      <c r="BT5" s="77">
        <f t="shared" ref="BT5" si="1">BT6</f>
        <v>45306</v>
      </c>
      <c r="BU5" s="78"/>
      <c r="BV5" s="78"/>
      <c r="BW5" s="78"/>
      <c r="BX5" s="78"/>
      <c r="BY5" s="78"/>
      <c r="BZ5" s="79"/>
      <c r="CA5" s="77">
        <f t="shared" ref="CA5" si="2">CA6</f>
        <v>45313</v>
      </c>
      <c r="CB5" s="78"/>
      <c r="CC5" s="78"/>
      <c r="CD5" s="78"/>
      <c r="CE5" s="78"/>
      <c r="CF5" s="78"/>
      <c r="CG5" s="79"/>
      <c r="CH5" s="77">
        <f t="shared" ref="CH5" si="3">CH6</f>
        <v>45320</v>
      </c>
      <c r="CI5" s="78"/>
      <c r="CJ5" s="78"/>
      <c r="CK5" s="78"/>
      <c r="CL5" s="78"/>
      <c r="CM5" s="78"/>
      <c r="CN5" s="79"/>
      <c r="CO5" s="77">
        <f t="shared" ref="CO5" si="4">CO6</f>
        <v>45327</v>
      </c>
      <c r="CP5" s="78"/>
      <c r="CQ5" s="78"/>
      <c r="CR5" s="78"/>
      <c r="CS5" s="78"/>
      <c r="CT5" s="78"/>
      <c r="CU5" s="79"/>
      <c r="CV5" s="77">
        <f t="shared" ref="CV5" si="5">CV6</f>
        <v>45334</v>
      </c>
      <c r="CW5" s="78"/>
      <c r="CX5" s="78"/>
      <c r="CY5" s="78"/>
      <c r="CZ5" s="78"/>
      <c r="DA5" s="78"/>
      <c r="DB5" s="79"/>
      <c r="DC5" s="77">
        <f t="shared" ref="DC5" si="6">DC6</f>
        <v>45341</v>
      </c>
      <c r="DD5" s="78"/>
      <c r="DE5" s="78"/>
      <c r="DF5" s="78"/>
      <c r="DG5" s="78"/>
      <c r="DH5" s="78"/>
      <c r="DI5" s="79"/>
      <c r="DJ5" s="77">
        <f t="shared" ref="DJ5" si="7">DJ6</f>
        <v>45348</v>
      </c>
      <c r="DK5" s="78"/>
      <c r="DL5" s="78"/>
      <c r="DM5" s="78"/>
      <c r="DN5" s="78"/>
      <c r="DO5" s="78"/>
      <c r="DP5" s="79"/>
      <c r="DQ5" s="77">
        <f t="shared" ref="DQ5" si="8">DQ6</f>
        <v>45355</v>
      </c>
      <c r="DR5" s="78"/>
      <c r="DS5" s="78"/>
      <c r="DT5" s="78"/>
      <c r="DU5" s="78"/>
      <c r="DV5" s="78"/>
      <c r="DW5" s="79"/>
      <c r="DX5" s="77">
        <f t="shared" ref="DX5" si="9">DX6</f>
        <v>45362</v>
      </c>
      <c r="DY5" s="78"/>
      <c r="DZ5" s="78"/>
      <c r="EA5" s="78"/>
      <c r="EB5" s="78"/>
      <c r="EC5" s="78"/>
      <c r="ED5" s="79"/>
      <c r="EE5" s="77">
        <f t="shared" ref="EE5" si="10">EE6</f>
        <v>45369</v>
      </c>
      <c r="EF5" s="78"/>
      <c r="EG5" s="78"/>
      <c r="EH5" s="78"/>
      <c r="EI5" s="78"/>
      <c r="EJ5" s="78"/>
      <c r="EK5" s="79"/>
      <c r="EL5" s="77">
        <f t="shared" ref="EL5" si="11">EL6</f>
        <v>45376</v>
      </c>
      <c r="EM5" s="78"/>
      <c r="EN5" s="78"/>
      <c r="EO5" s="78"/>
      <c r="EP5" s="78"/>
      <c r="EQ5" s="78"/>
      <c r="ER5" s="79"/>
      <c r="ES5" s="77">
        <f t="shared" ref="ES5" si="12">ES6</f>
        <v>45383</v>
      </c>
      <c r="ET5" s="78"/>
      <c r="EU5" s="78"/>
      <c r="EV5" s="78"/>
      <c r="EW5" s="78"/>
      <c r="EX5" s="78"/>
      <c r="EY5" s="79"/>
      <c r="EZ5" s="77">
        <f t="shared" ref="EZ5" si="13">EZ6</f>
        <v>45390</v>
      </c>
      <c r="FA5" s="78"/>
      <c r="FB5" s="78"/>
      <c r="FC5" s="78"/>
      <c r="FD5" s="78"/>
      <c r="FE5" s="78"/>
      <c r="FF5" s="79"/>
      <c r="FG5" s="77">
        <f t="shared" ref="FG5" si="14">FG6</f>
        <v>45397</v>
      </c>
      <c r="FH5" s="78"/>
      <c r="FI5" s="78"/>
      <c r="FJ5" s="78"/>
      <c r="FK5" s="78"/>
      <c r="FL5" s="78"/>
      <c r="FM5" s="79"/>
      <c r="FN5" s="77">
        <f t="shared" ref="FN5" si="15">FN6</f>
        <v>45404</v>
      </c>
      <c r="FO5" s="78"/>
      <c r="FP5" s="78"/>
      <c r="FQ5" s="78"/>
      <c r="FR5" s="78"/>
      <c r="FS5" s="78"/>
      <c r="FT5" s="79"/>
      <c r="FU5" s="77">
        <f t="shared" ref="FU5" si="16">FU6</f>
        <v>45411</v>
      </c>
      <c r="FV5" s="78"/>
      <c r="FW5" s="78"/>
      <c r="FX5" s="78"/>
      <c r="FY5" s="78"/>
      <c r="FZ5" s="78"/>
      <c r="GA5" s="79"/>
      <c r="GB5" s="77">
        <f t="shared" ref="GB5" si="17">GB6</f>
        <v>45418</v>
      </c>
      <c r="GC5" s="78"/>
      <c r="GD5" s="78"/>
      <c r="GE5" s="78"/>
      <c r="GF5" s="78"/>
      <c r="GG5" s="78"/>
      <c r="GH5" s="79"/>
      <c r="GI5" s="77">
        <f t="shared" ref="GI5" si="18">GI6</f>
        <v>45425</v>
      </c>
      <c r="GJ5" s="78"/>
      <c r="GK5" s="78"/>
      <c r="GL5" s="78"/>
      <c r="GM5" s="78"/>
      <c r="GN5" s="78"/>
      <c r="GO5" s="79"/>
      <c r="GP5" s="77">
        <f t="shared" ref="GP5" si="19">GP6</f>
        <v>45432</v>
      </c>
      <c r="GQ5" s="78"/>
      <c r="GR5" s="78"/>
      <c r="GS5" s="78"/>
      <c r="GT5" s="78"/>
      <c r="GU5" s="78"/>
      <c r="GV5" s="79"/>
      <c r="GW5" s="77">
        <f t="shared" ref="GW5" si="20">GW6</f>
        <v>45439</v>
      </c>
      <c r="GX5" s="78"/>
      <c r="GY5" s="78"/>
      <c r="GZ5" s="78"/>
      <c r="HA5" s="78"/>
      <c r="HB5" s="78"/>
      <c r="HC5" s="79"/>
      <c r="HD5" s="77">
        <f t="shared" ref="HD5" si="21">HD6</f>
        <v>45446</v>
      </c>
      <c r="HE5" s="78"/>
      <c r="HF5" s="78"/>
      <c r="HG5" s="78"/>
      <c r="HH5" s="78"/>
      <c r="HI5" s="78"/>
      <c r="HJ5" s="79"/>
    </row>
    <row r="6" spans="1:218" ht="15" customHeight="1" x14ac:dyDescent="0.25">
      <c r="A6" s="37" t="s">
        <v>4</v>
      </c>
      <c r="B6" s="52"/>
      <c r="C6" s="52"/>
      <c r="D6" s="52"/>
      <c r="E6" s="52"/>
      <c r="F6" s="52"/>
      <c r="G6" s="52"/>
      <c r="I6" s="68">
        <f>Début_Projet-WEEKDAY(Début_Projet,1)+2+7*(Semaine_Affichage-1)</f>
        <v>45243</v>
      </c>
      <c r="J6" s="69">
        <f>I6+1</f>
        <v>45244</v>
      </c>
      <c r="K6" s="69">
        <f t="shared" ref="K6:AX6" si="22">J6+1</f>
        <v>45245</v>
      </c>
      <c r="L6" s="69">
        <f t="shared" si="22"/>
        <v>45246</v>
      </c>
      <c r="M6" s="69">
        <f t="shared" si="22"/>
        <v>45247</v>
      </c>
      <c r="N6" s="69">
        <f t="shared" si="22"/>
        <v>45248</v>
      </c>
      <c r="O6" s="70">
        <f t="shared" si="22"/>
        <v>45249</v>
      </c>
      <c r="P6" s="68">
        <f>O6+1</f>
        <v>45250</v>
      </c>
      <c r="Q6" s="69">
        <f>P6+1</f>
        <v>45251</v>
      </c>
      <c r="R6" s="69">
        <f t="shared" si="22"/>
        <v>45252</v>
      </c>
      <c r="S6" s="69">
        <f t="shared" si="22"/>
        <v>45253</v>
      </c>
      <c r="T6" s="69">
        <f t="shared" si="22"/>
        <v>45254</v>
      </c>
      <c r="U6" s="69">
        <f t="shared" si="22"/>
        <v>45255</v>
      </c>
      <c r="V6" s="70">
        <f t="shared" si="22"/>
        <v>45256</v>
      </c>
      <c r="W6" s="68">
        <f>V6+1</f>
        <v>45257</v>
      </c>
      <c r="X6" s="69">
        <f>W6+1</f>
        <v>45258</v>
      </c>
      <c r="Y6" s="69">
        <f t="shared" si="22"/>
        <v>45259</v>
      </c>
      <c r="Z6" s="69">
        <f t="shared" si="22"/>
        <v>45260</v>
      </c>
      <c r="AA6" s="69">
        <f t="shared" si="22"/>
        <v>45261</v>
      </c>
      <c r="AB6" s="69">
        <f t="shared" si="22"/>
        <v>45262</v>
      </c>
      <c r="AC6" s="70">
        <f t="shared" si="22"/>
        <v>45263</v>
      </c>
      <c r="AD6" s="68">
        <f>AC6+1</f>
        <v>45264</v>
      </c>
      <c r="AE6" s="69">
        <f>AD6+1</f>
        <v>45265</v>
      </c>
      <c r="AF6" s="69">
        <f t="shared" si="22"/>
        <v>45266</v>
      </c>
      <c r="AG6" s="69">
        <f t="shared" si="22"/>
        <v>45267</v>
      </c>
      <c r="AH6" s="69">
        <f t="shared" si="22"/>
        <v>45268</v>
      </c>
      <c r="AI6" s="69">
        <f t="shared" si="22"/>
        <v>45269</v>
      </c>
      <c r="AJ6" s="70">
        <f t="shared" si="22"/>
        <v>45270</v>
      </c>
      <c r="AK6" s="68">
        <f>AJ6+1</f>
        <v>45271</v>
      </c>
      <c r="AL6" s="69">
        <f>AK6+1</f>
        <v>45272</v>
      </c>
      <c r="AM6" s="69">
        <f t="shared" si="22"/>
        <v>45273</v>
      </c>
      <c r="AN6" s="69">
        <f t="shared" si="22"/>
        <v>45274</v>
      </c>
      <c r="AO6" s="69">
        <f t="shared" si="22"/>
        <v>45275</v>
      </c>
      <c r="AP6" s="69">
        <f t="shared" si="22"/>
        <v>45276</v>
      </c>
      <c r="AQ6" s="70">
        <f t="shared" si="22"/>
        <v>45277</v>
      </c>
      <c r="AR6" s="68">
        <f>AQ6+1</f>
        <v>45278</v>
      </c>
      <c r="AS6" s="69">
        <f>AR6+1</f>
        <v>45279</v>
      </c>
      <c r="AT6" s="69">
        <f t="shared" si="22"/>
        <v>45280</v>
      </c>
      <c r="AU6" s="69">
        <f t="shared" si="22"/>
        <v>45281</v>
      </c>
      <c r="AV6" s="69">
        <f t="shared" si="22"/>
        <v>45282</v>
      </c>
      <c r="AW6" s="69">
        <f t="shared" si="22"/>
        <v>45283</v>
      </c>
      <c r="AX6" s="70">
        <f t="shared" si="22"/>
        <v>45284</v>
      </c>
      <c r="AY6" s="68">
        <f>AX6+1</f>
        <v>45285</v>
      </c>
      <c r="AZ6" s="69">
        <f>AY6+1</f>
        <v>45286</v>
      </c>
      <c r="BA6" s="69">
        <f t="shared" ref="BA6:BE6" si="23">AZ6+1</f>
        <v>45287</v>
      </c>
      <c r="BB6" s="69">
        <f t="shared" si="23"/>
        <v>45288</v>
      </c>
      <c r="BC6" s="69">
        <f t="shared" si="23"/>
        <v>45289</v>
      </c>
      <c r="BD6" s="69">
        <f t="shared" si="23"/>
        <v>45290</v>
      </c>
      <c r="BE6" s="70">
        <f t="shared" si="23"/>
        <v>45291</v>
      </c>
      <c r="BF6" s="68">
        <f>BE6+1</f>
        <v>45292</v>
      </c>
      <c r="BG6" s="69">
        <f>BF6+1</f>
        <v>45293</v>
      </c>
      <c r="BH6" s="69">
        <f t="shared" ref="BH6:BL6" si="24">BG6+1</f>
        <v>45294</v>
      </c>
      <c r="BI6" s="69">
        <f t="shared" si="24"/>
        <v>45295</v>
      </c>
      <c r="BJ6" s="69">
        <f t="shared" si="24"/>
        <v>45296</v>
      </c>
      <c r="BK6" s="69">
        <f t="shared" si="24"/>
        <v>45297</v>
      </c>
      <c r="BL6" s="70">
        <f t="shared" si="24"/>
        <v>45298</v>
      </c>
      <c r="BM6" s="70">
        <f t="shared" ref="BM6" si="25">BL6+1</f>
        <v>45299</v>
      </c>
      <c r="BN6" s="70">
        <f t="shared" ref="BN6" si="26">BM6+1</f>
        <v>45300</v>
      </c>
      <c r="BO6" s="70">
        <f t="shared" ref="BO6" si="27">BN6+1</f>
        <v>45301</v>
      </c>
      <c r="BP6" s="70">
        <f t="shared" ref="BP6" si="28">BO6+1</f>
        <v>45302</v>
      </c>
      <c r="BQ6" s="70">
        <f t="shared" ref="BQ6" si="29">BP6+1</f>
        <v>45303</v>
      </c>
      <c r="BR6" s="70">
        <f>BQ6+1</f>
        <v>45304</v>
      </c>
      <c r="BS6" s="70">
        <f t="shared" ref="BS6" si="30">BR6+1</f>
        <v>45305</v>
      </c>
      <c r="BT6" s="70">
        <f t="shared" ref="BT6" si="31">BS6+1</f>
        <v>45306</v>
      </c>
      <c r="BU6" s="70">
        <f t="shared" ref="BU6:HJ6" si="32">BT6+1</f>
        <v>45307</v>
      </c>
      <c r="BV6" s="70">
        <f t="shared" si="32"/>
        <v>45308</v>
      </c>
      <c r="BW6" s="70">
        <f t="shared" si="32"/>
        <v>45309</v>
      </c>
      <c r="BX6" s="70">
        <f t="shared" si="32"/>
        <v>45310</v>
      </c>
      <c r="BY6" s="70">
        <f t="shared" si="32"/>
        <v>45311</v>
      </c>
      <c r="BZ6" s="70">
        <f t="shared" si="32"/>
        <v>45312</v>
      </c>
      <c r="CA6" s="70">
        <f t="shared" si="32"/>
        <v>45313</v>
      </c>
      <c r="CB6" s="70">
        <f t="shared" si="32"/>
        <v>45314</v>
      </c>
      <c r="CC6" s="70">
        <f t="shared" si="32"/>
        <v>45315</v>
      </c>
      <c r="CD6" s="70">
        <f t="shared" si="32"/>
        <v>45316</v>
      </c>
      <c r="CE6" s="70">
        <f t="shared" si="32"/>
        <v>45317</v>
      </c>
      <c r="CF6" s="70">
        <f t="shared" si="32"/>
        <v>45318</v>
      </c>
      <c r="CG6" s="70">
        <f t="shared" si="32"/>
        <v>45319</v>
      </c>
      <c r="CH6" s="70">
        <f t="shared" si="32"/>
        <v>45320</v>
      </c>
      <c r="CI6" s="70">
        <f t="shared" si="32"/>
        <v>45321</v>
      </c>
      <c r="CJ6" s="70">
        <f t="shared" si="32"/>
        <v>45322</v>
      </c>
      <c r="CK6" s="70">
        <f t="shared" si="32"/>
        <v>45323</v>
      </c>
      <c r="CL6" s="70">
        <f t="shared" si="32"/>
        <v>45324</v>
      </c>
      <c r="CM6" s="70">
        <f t="shared" si="32"/>
        <v>45325</v>
      </c>
      <c r="CN6" s="70">
        <f t="shared" si="32"/>
        <v>45326</v>
      </c>
      <c r="CO6" s="70">
        <f t="shared" si="32"/>
        <v>45327</v>
      </c>
      <c r="CP6" s="70">
        <f t="shared" si="32"/>
        <v>45328</v>
      </c>
      <c r="CQ6" s="70">
        <f t="shared" si="32"/>
        <v>45329</v>
      </c>
      <c r="CR6" s="70">
        <f t="shared" si="32"/>
        <v>45330</v>
      </c>
      <c r="CS6" s="70">
        <f t="shared" si="32"/>
        <v>45331</v>
      </c>
      <c r="CT6" s="70">
        <f t="shared" si="32"/>
        <v>45332</v>
      </c>
      <c r="CU6" s="70">
        <f t="shared" si="32"/>
        <v>45333</v>
      </c>
      <c r="CV6" s="70">
        <f t="shared" si="32"/>
        <v>45334</v>
      </c>
      <c r="CW6" s="70">
        <f t="shared" si="32"/>
        <v>45335</v>
      </c>
      <c r="CX6" s="70">
        <f t="shared" si="32"/>
        <v>45336</v>
      </c>
      <c r="CY6" s="70">
        <f t="shared" si="32"/>
        <v>45337</v>
      </c>
      <c r="CZ6" s="70">
        <f t="shared" si="32"/>
        <v>45338</v>
      </c>
      <c r="DA6" s="70">
        <f t="shared" si="32"/>
        <v>45339</v>
      </c>
      <c r="DB6" s="70">
        <f t="shared" si="32"/>
        <v>45340</v>
      </c>
      <c r="DC6" s="70">
        <f t="shared" si="32"/>
        <v>45341</v>
      </c>
      <c r="DD6" s="70">
        <f t="shared" si="32"/>
        <v>45342</v>
      </c>
      <c r="DE6" s="70">
        <f t="shared" si="32"/>
        <v>45343</v>
      </c>
      <c r="DF6" s="70">
        <f t="shared" si="32"/>
        <v>45344</v>
      </c>
      <c r="DG6" s="70">
        <f t="shared" si="32"/>
        <v>45345</v>
      </c>
      <c r="DH6" s="70">
        <f t="shared" si="32"/>
        <v>45346</v>
      </c>
      <c r="DI6" s="70">
        <f t="shared" si="32"/>
        <v>45347</v>
      </c>
      <c r="DJ6" s="70">
        <f t="shared" si="32"/>
        <v>45348</v>
      </c>
      <c r="DK6" s="70">
        <f t="shared" si="32"/>
        <v>45349</v>
      </c>
      <c r="DL6" s="70">
        <f t="shared" si="32"/>
        <v>45350</v>
      </c>
      <c r="DM6" s="70">
        <f t="shared" si="32"/>
        <v>45351</v>
      </c>
      <c r="DN6" s="70">
        <f t="shared" si="32"/>
        <v>45352</v>
      </c>
      <c r="DO6" s="70">
        <f t="shared" si="32"/>
        <v>45353</v>
      </c>
      <c r="DP6" s="70">
        <f t="shared" si="32"/>
        <v>45354</v>
      </c>
      <c r="DQ6" s="70">
        <f t="shared" si="32"/>
        <v>45355</v>
      </c>
      <c r="DR6" s="70">
        <f t="shared" si="32"/>
        <v>45356</v>
      </c>
      <c r="DS6" s="70">
        <f t="shared" si="32"/>
        <v>45357</v>
      </c>
      <c r="DT6" s="70">
        <f t="shared" si="32"/>
        <v>45358</v>
      </c>
      <c r="DU6" s="70">
        <f t="shared" si="32"/>
        <v>45359</v>
      </c>
      <c r="DV6" s="70">
        <f t="shared" si="32"/>
        <v>45360</v>
      </c>
      <c r="DW6" s="70">
        <f t="shared" si="32"/>
        <v>45361</v>
      </c>
      <c r="DX6" s="70">
        <f t="shared" si="32"/>
        <v>45362</v>
      </c>
      <c r="DY6" s="70">
        <f t="shared" si="32"/>
        <v>45363</v>
      </c>
      <c r="DZ6" s="70">
        <f t="shared" si="32"/>
        <v>45364</v>
      </c>
      <c r="EA6" s="70">
        <f t="shared" si="32"/>
        <v>45365</v>
      </c>
      <c r="EB6" s="70">
        <f t="shared" si="32"/>
        <v>45366</v>
      </c>
      <c r="EC6" s="70">
        <f t="shared" si="32"/>
        <v>45367</v>
      </c>
      <c r="ED6" s="70">
        <f t="shared" si="32"/>
        <v>45368</v>
      </c>
      <c r="EE6" s="70">
        <f t="shared" si="32"/>
        <v>45369</v>
      </c>
      <c r="EF6" s="70">
        <f t="shared" si="32"/>
        <v>45370</v>
      </c>
      <c r="EG6" s="70">
        <f t="shared" si="32"/>
        <v>45371</v>
      </c>
      <c r="EH6" s="70">
        <f t="shared" si="32"/>
        <v>45372</v>
      </c>
      <c r="EI6" s="70">
        <f t="shared" si="32"/>
        <v>45373</v>
      </c>
      <c r="EJ6" s="70">
        <f t="shared" si="32"/>
        <v>45374</v>
      </c>
      <c r="EK6" s="70">
        <f t="shared" si="32"/>
        <v>45375</v>
      </c>
      <c r="EL6" s="70">
        <f t="shared" si="32"/>
        <v>45376</v>
      </c>
      <c r="EM6" s="70">
        <f t="shared" si="32"/>
        <v>45377</v>
      </c>
      <c r="EN6" s="70">
        <f t="shared" si="32"/>
        <v>45378</v>
      </c>
      <c r="EO6" s="70">
        <f t="shared" si="32"/>
        <v>45379</v>
      </c>
      <c r="EP6" s="70">
        <f t="shared" si="32"/>
        <v>45380</v>
      </c>
      <c r="EQ6" s="70">
        <f t="shared" si="32"/>
        <v>45381</v>
      </c>
      <c r="ER6" s="70">
        <f t="shared" si="32"/>
        <v>45382</v>
      </c>
      <c r="ES6" s="70">
        <f t="shared" si="32"/>
        <v>45383</v>
      </c>
      <c r="ET6" s="70">
        <f t="shared" si="32"/>
        <v>45384</v>
      </c>
      <c r="EU6" s="70">
        <f t="shared" si="32"/>
        <v>45385</v>
      </c>
      <c r="EV6" s="70">
        <f t="shared" si="32"/>
        <v>45386</v>
      </c>
      <c r="EW6" s="70">
        <f t="shared" si="32"/>
        <v>45387</v>
      </c>
      <c r="EX6" s="70">
        <f t="shared" si="32"/>
        <v>45388</v>
      </c>
      <c r="EY6" s="70">
        <f t="shared" si="32"/>
        <v>45389</v>
      </c>
      <c r="EZ6" s="70">
        <f t="shared" si="32"/>
        <v>45390</v>
      </c>
      <c r="FA6" s="70">
        <f t="shared" si="32"/>
        <v>45391</v>
      </c>
      <c r="FB6" s="70">
        <f t="shared" si="32"/>
        <v>45392</v>
      </c>
      <c r="FC6" s="70">
        <f t="shared" si="32"/>
        <v>45393</v>
      </c>
      <c r="FD6" s="70">
        <f t="shared" si="32"/>
        <v>45394</v>
      </c>
      <c r="FE6" s="70">
        <f t="shared" si="32"/>
        <v>45395</v>
      </c>
      <c r="FF6" s="70">
        <f t="shared" si="32"/>
        <v>45396</v>
      </c>
      <c r="FG6" s="70">
        <f t="shared" si="32"/>
        <v>45397</v>
      </c>
      <c r="FH6" s="70">
        <f t="shared" si="32"/>
        <v>45398</v>
      </c>
      <c r="FI6" s="70">
        <f t="shared" si="32"/>
        <v>45399</v>
      </c>
      <c r="FJ6" s="70">
        <f t="shared" si="32"/>
        <v>45400</v>
      </c>
      <c r="FK6" s="70">
        <f t="shared" si="32"/>
        <v>45401</v>
      </c>
      <c r="FL6" s="70">
        <f t="shared" si="32"/>
        <v>45402</v>
      </c>
      <c r="FM6" s="70">
        <f t="shared" si="32"/>
        <v>45403</v>
      </c>
      <c r="FN6" s="70">
        <f t="shared" si="32"/>
        <v>45404</v>
      </c>
      <c r="FO6" s="70">
        <f t="shared" si="32"/>
        <v>45405</v>
      </c>
      <c r="FP6" s="70">
        <f t="shared" si="32"/>
        <v>45406</v>
      </c>
      <c r="FQ6" s="70">
        <f t="shared" si="32"/>
        <v>45407</v>
      </c>
      <c r="FR6" s="70">
        <f t="shared" si="32"/>
        <v>45408</v>
      </c>
      <c r="FS6" s="70">
        <f t="shared" si="32"/>
        <v>45409</v>
      </c>
      <c r="FT6" s="70">
        <f t="shared" si="32"/>
        <v>45410</v>
      </c>
      <c r="FU6" s="70">
        <f t="shared" si="32"/>
        <v>45411</v>
      </c>
      <c r="FV6" s="70">
        <f t="shared" si="32"/>
        <v>45412</v>
      </c>
      <c r="FW6" s="70">
        <f t="shared" si="32"/>
        <v>45413</v>
      </c>
      <c r="FX6" s="70">
        <f t="shared" si="32"/>
        <v>45414</v>
      </c>
      <c r="FY6" s="70">
        <f t="shared" si="32"/>
        <v>45415</v>
      </c>
      <c r="FZ6" s="70">
        <f t="shared" si="32"/>
        <v>45416</v>
      </c>
      <c r="GA6" s="70">
        <f t="shared" si="32"/>
        <v>45417</v>
      </c>
      <c r="GB6" s="70">
        <f t="shared" si="32"/>
        <v>45418</v>
      </c>
      <c r="GC6" s="70">
        <f t="shared" si="32"/>
        <v>45419</v>
      </c>
      <c r="GD6" s="70">
        <f t="shared" si="32"/>
        <v>45420</v>
      </c>
      <c r="GE6" s="70">
        <f t="shared" si="32"/>
        <v>45421</v>
      </c>
      <c r="GF6" s="70">
        <f t="shared" si="32"/>
        <v>45422</v>
      </c>
      <c r="GG6" s="70">
        <f t="shared" si="32"/>
        <v>45423</v>
      </c>
      <c r="GH6" s="70">
        <f t="shared" si="32"/>
        <v>45424</v>
      </c>
      <c r="GI6" s="70">
        <f t="shared" si="32"/>
        <v>45425</v>
      </c>
      <c r="GJ6" s="70">
        <f t="shared" si="32"/>
        <v>45426</v>
      </c>
      <c r="GK6" s="70">
        <f t="shared" si="32"/>
        <v>45427</v>
      </c>
      <c r="GL6" s="70">
        <f t="shared" si="32"/>
        <v>45428</v>
      </c>
      <c r="GM6" s="70">
        <f t="shared" si="32"/>
        <v>45429</v>
      </c>
      <c r="GN6" s="70">
        <f t="shared" si="32"/>
        <v>45430</v>
      </c>
      <c r="GO6" s="70">
        <f t="shared" si="32"/>
        <v>45431</v>
      </c>
      <c r="GP6" s="70">
        <f t="shared" si="32"/>
        <v>45432</v>
      </c>
      <c r="GQ6" s="70">
        <f t="shared" si="32"/>
        <v>45433</v>
      </c>
      <c r="GR6" s="70">
        <f t="shared" si="32"/>
        <v>45434</v>
      </c>
      <c r="GS6" s="70">
        <f t="shared" si="32"/>
        <v>45435</v>
      </c>
      <c r="GT6" s="70">
        <f t="shared" si="32"/>
        <v>45436</v>
      </c>
      <c r="GU6" s="70">
        <f t="shared" si="32"/>
        <v>45437</v>
      </c>
      <c r="GV6" s="70">
        <f t="shared" si="32"/>
        <v>45438</v>
      </c>
      <c r="GW6" s="70">
        <f t="shared" si="32"/>
        <v>45439</v>
      </c>
      <c r="GX6" s="70">
        <f t="shared" si="32"/>
        <v>45440</v>
      </c>
      <c r="GY6" s="70">
        <f t="shared" si="32"/>
        <v>45441</v>
      </c>
      <c r="GZ6" s="70">
        <f t="shared" si="32"/>
        <v>45442</v>
      </c>
      <c r="HA6" s="70">
        <f t="shared" si="32"/>
        <v>45443</v>
      </c>
      <c r="HB6" s="70">
        <f t="shared" si="32"/>
        <v>45444</v>
      </c>
      <c r="HC6" s="70">
        <f t="shared" si="32"/>
        <v>45445</v>
      </c>
      <c r="HD6" s="70">
        <f t="shared" si="32"/>
        <v>45446</v>
      </c>
      <c r="HE6" s="70">
        <f t="shared" si="32"/>
        <v>45447</v>
      </c>
      <c r="HF6" s="70">
        <f t="shared" si="32"/>
        <v>45448</v>
      </c>
      <c r="HG6" s="70">
        <f t="shared" si="32"/>
        <v>45449</v>
      </c>
      <c r="HH6" s="70">
        <f t="shared" si="32"/>
        <v>45450</v>
      </c>
      <c r="HI6" s="70">
        <f t="shared" si="32"/>
        <v>45451</v>
      </c>
      <c r="HJ6" s="70">
        <f t="shared" si="32"/>
        <v>45452</v>
      </c>
    </row>
    <row r="7" spans="1:218" ht="30" customHeight="1" thickBot="1" x14ac:dyDescent="0.3">
      <c r="A7" s="37" t="s">
        <v>5</v>
      </c>
      <c r="B7" s="8" t="s">
        <v>12</v>
      </c>
      <c r="C7" s="9" t="s">
        <v>15</v>
      </c>
      <c r="D7" s="9" t="s">
        <v>16</v>
      </c>
      <c r="E7" s="9" t="s">
        <v>17</v>
      </c>
      <c r="F7" s="9" t="s">
        <v>18</v>
      </c>
      <c r="G7" s="9"/>
      <c r="H7" s="9" t="s">
        <v>19</v>
      </c>
      <c r="I7" s="10" t="str">
        <f t="shared" ref="I7:AN7" si="33">LEFT(TEXT(I6,"jjj"),1)</f>
        <v>l</v>
      </c>
      <c r="J7" s="10" t="str">
        <f t="shared" si="33"/>
        <v>m</v>
      </c>
      <c r="K7" s="10" t="str">
        <f t="shared" si="33"/>
        <v>m</v>
      </c>
      <c r="L7" s="10" t="str">
        <f t="shared" si="33"/>
        <v>j</v>
      </c>
      <c r="M7" s="10" t="str">
        <f t="shared" si="33"/>
        <v>v</v>
      </c>
      <c r="N7" s="10" t="str">
        <f t="shared" si="33"/>
        <v>s</v>
      </c>
      <c r="O7" s="10" t="str">
        <f t="shared" si="33"/>
        <v>d</v>
      </c>
      <c r="P7" s="10" t="str">
        <f t="shared" si="33"/>
        <v>l</v>
      </c>
      <c r="Q7" s="10" t="str">
        <f t="shared" si="33"/>
        <v>m</v>
      </c>
      <c r="R7" s="10" t="str">
        <f t="shared" si="33"/>
        <v>m</v>
      </c>
      <c r="S7" s="10" t="str">
        <f t="shared" si="33"/>
        <v>j</v>
      </c>
      <c r="T7" s="10" t="str">
        <f t="shared" si="33"/>
        <v>v</v>
      </c>
      <c r="U7" s="10" t="str">
        <f t="shared" si="33"/>
        <v>s</v>
      </c>
      <c r="V7" s="10" t="str">
        <f t="shared" si="33"/>
        <v>d</v>
      </c>
      <c r="W7" s="10" t="str">
        <f t="shared" si="33"/>
        <v>l</v>
      </c>
      <c r="X7" s="10" t="str">
        <f t="shared" si="33"/>
        <v>m</v>
      </c>
      <c r="Y7" s="10" t="str">
        <f t="shared" si="33"/>
        <v>m</v>
      </c>
      <c r="Z7" s="10" t="str">
        <f t="shared" si="33"/>
        <v>j</v>
      </c>
      <c r="AA7" s="10" t="str">
        <f t="shared" si="33"/>
        <v>v</v>
      </c>
      <c r="AB7" s="10" t="str">
        <f t="shared" si="33"/>
        <v>s</v>
      </c>
      <c r="AC7" s="10" t="str">
        <f t="shared" si="33"/>
        <v>d</v>
      </c>
      <c r="AD7" s="10" t="str">
        <f t="shared" si="33"/>
        <v>l</v>
      </c>
      <c r="AE7" s="10" t="str">
        <f t="shared" si="33"/>
        <v>m</v>
      </c>
      <c r="AF7" s="10" t="str">
        <f t="shared" si="33"/>
        <v>m</v>
      </c>
      <c r="AG7" s="10" t="str">
        <f t="shared" si="33"/>
        <v>j</v>
      </c>
      <c r="AH7" s="10" t="str">
        <f t="shared" si="33"/>
        <v>v</v>
      </c>
      <c r="AI7" s="10" t="str">
        <f t="shared" si="33"/>
        <v>s</v>
      </c>
      <c r="AJ7" s="10" t="str">
        <f t="shared" si="33"/>
        <v>d</v>
      </c>
      <c r="AK7" s="10" t="str">
        <f t="shared" si="33"/>
        <v>l</v>
      </c>
      <c r="AL7" s="10" t="str">
        <f t="shared" si="33"/>
        <v>m</v>
      </c>
      <c r="AM7" s="10" t="str">
        <f t="shared" si="33"/>
        <v>m</v>
      </c>
      <c r="AN7" s="10" t="str">
        <f t="shared" si="33"/>
        <v>j</v>
      </c>
      <c r="AO7" s="10" t="str">
        <f t="shared" ref="AO7:BQ7" si="34">LEFT(TEXT(AO6,"jjj"),1)</f>
        <v>v</v>
      </c>
      <c r="AP7" s="10" t="str">
        <f t="shared" si="34"/>
        <v>s</v>
      </c>
      <c r="AQ7" s="10" t="str">
        <f t="shared" si="34"/>
        <v>d</v>
      </c>
      <c r="AR7" s="10" t="str">
        <f t="shared" si="34"/>
        <v>l</v>
      </c>
      <c r="AS7" s="10" t="str">
        <f t="shared" si="34"/>
        <v>m</v>
      </c>
      <c r="AT7" s="10" t="str">
        <f t="shared" si="34"/>
        <v>m</v>
      </c>
      <c r="AU7" s="10" t="str">
        <f t="shared" si="34"/>
        <v>j</v>
      </c>
      <c r="AV7" s="10" t="str">
        <f t="shared" si="34"/>
        <v>v</v>
      </c>
      <c r="AW7" s="10" t="str">
        <f t="shared" si="34"/>
        <v>s</v>
      </c>
      <c r="AX7" s="10" t="str">
        <f t="shared" si="34"/>
        <v>d</v>
      </c>
      <c r="AY7" s="10" t="str">
        <f t="shared" si="34"/>
        <v>l</v>
      </c>
      <c r="AZ7" s="10" t="str">
        <f t="shared" si="34"/>
        <v>m</v>
      </c>
      <c r="BA7" s="10" t="str">
        <f t="shared" si="34"/>
        <v>m</v>
      </c>
      <c r="BB7" s="10" t="str">
        <f t="shared" si="34"/>
        <v>j</v>
      </c>
      <c r="BC7" s="10" t="str">
        <f t="shared" si="34"/>
        <v>v</v>
      </c>
      <c r="BD7" s="10" t="str">
        <f t="shared" si="34"/>
        <v>s</v>
      </c>
      <c r="BE7" s="10" t="str">
        <f t="shared" si="34"/>
        <v>d</v>
      </c>
      <c r="BF7" s="10" t="str">
        <f t="shared" si="34"/>
        <v>l</v>
      </c>
      <c r="BG7" s="10" t="str">
        <f t="shared" si="34"/>
        <v>m</v>
      </c>
      <c r="BH7" s="10" t="str">
        <f t="shared" si="34"/>
        <v>m</v>
      </c>
      <c r="BI7" s="10" t="str">
        <f t="shared" si="34"/>
        <v>j</v>
      </c>
      <c r="BJ7" s="10" t="str">
        <f t="shared" si="34"/>
        <v>v</v>
      </c>
      <c r="BK7" s="10" t="str">
        <f t="shared" si="34"/>
        <v>s</v>
      </c>
      <c r="BL7" s="10" t="str">
        <f t="shared" si="34"/>
        <v>d</v>
      </c>
      <c r="BM7" s="10" t="str">
        <f t="shared" si="34"/>
        <v>l</v>
      </c>
      <c r="BN7" s="10" t="str">
        <f t="shared" si="34"/>
        <v>m</v>
      </c>
      <c r="BO7" s="10" t="str">
        <f t="shared" si="34"/>
        <v>m</v>
      </c>
      <c r="BP7" s="10" t="str">
        <f t="shared" si="34"/>
        <v>j</v>
      </c>
      <c r="BQ7" s="10" t="str">
        <f t="shared" si="34"/>
        <v>v</v>
      </c>
      <c r="BR7" s="10" t="str">
        <f t="shared" ref="BR7:BS7" si="35">LEFT(TEXT(BR6,"jjj"),1)</f>
        <v>s</v>
      </c>
      <c r="BS7" s="10" t="str">
        <f t="shared" si="35"/>
        <v>d</v>
      </c>
      <c r="BT7" s="10" t="str">
        <f t="shared" ref="BT7:BU7" si="36">LEFT(TEXT(BT6,"jjj"),1)</f>
        <v>l</v>
      </c>
      <c r="BU7" s="10" t="str">
        <f t="shared" si="36"/>
        <v>m</v>
      </c>
      <c r="BV7" s="10" t="str">
        <f t="shared" ref="BV7:CM7" si="37">LEFT(TEXT(BV6,"jjj"),1)</f>
        <v>m</v>
      </c>
      <c r="BW7" s="10" t="str">
        <f t="shared" si="37"/>
        <v>j</v>
      </c>
      <c r="BX7" s="10" t="str">
        <f t="shared" si="37"/>
        <v>v</v>
      </c>
      <c r="BY7" s="10" t="str">
        <f t="shared" si="37"/>
        <v>s</v>
      </c>
      <c r="BZ7" s="10" t="str">
        <f t="shared" si="37"/>
        <v>d</v>
      </c>
      <c r="CA7" s="10" t="str">
        <f t="shared" si="37"/>
        <v>l</v>
      </c>
      <c r="CB7" s="10" t="str">
        <f t="shared" si="37"/>
        <v>m</v>
      </c>
      <c r="CC7" s="10" t="str">
        <f t="shared" si="37"/>
        <v>m</v>
      </c>
      <c r="CD7" s="10" t="str">
        <f t="shared" si="37"/>
        <v>j</v>
      </c>
      <c r="CE7" s="10" t="str">
        <f t="shared" si="37"/>
        <v>v</v>
      </c>
      <c r="CF7" s="10" t="str">
        <f t="shared" si="37"/>
        <v>s</v>
      </c>
      <c r="CG7" s="10" t="str">
        <f t="shared" si="37"/>
        <v>d</v>
      </c>
      <c r="CH7" s="10" t="str">
        <f t="shared" si="37"/>
        <v>l</v>
      </c>
      <c r="CI7" s="10" t="str">
        <f t="shared" si="37"/>
        <v>m</v>
      </c>
      <c r="CJ7" s="10" t="str">
        <f t="shared" si="37"/>
        <v>m</v>
      </c>
      <c r="CK7" s="10" t="str">
        <f t="shared" si="37"/>
        <v>j</v>
      </c>
      <c r="CL7" s="10" t="str">
        <f t="shared" si="37"/>
        <v>v</v>
      </c>
      <c r="CM7" s="10" t="str">
        <f t="shared" si="37"/>
        <v>s</v>
      </c>
      <c r="CN7" s="10" t="str">
        <f t="shared" ref="CN7:CU7" si="38">LEFT(TEXT(CN6,"jjj"),1)</f>
        <v>d</v>
      </c>
      <c r="CO7" s="10" t="str">
        <f t="shared" si="38"/>
        <v>l</v>
      </c>
      <c r="CP7" s="10" t="str">
        <f t="shared" si="38"/>
        <v>m</v>
      </c>
      <c r="CQ7" s="10" t="str">
        <f t="shared" si="38"/>
        <v>m</v>
      </c>
      <c r="CR7" s="10" t="str">
        <f t="shared" si="38"/>
        <v>j</v>
      </c>
      <c r="CS7" s="10" t="str">
        <f t="shared" si="38"/>
        <v>v</v>
      </c>
      <c r="CT7" s="10" t="str">
        <f t="shared" si="38"/>
        <v>s</v>
      </c>
      <c r="CU7" s="10" t="str">
        <f t="shared" si="38"/>
        <v>d</v>
      </c>
      <c r="CV7" s="10" t="str">
        <f t="shared" ref="CV7:ES7" si="39">LEFT(TEXT(CV6,"jjj"),1)</f>
        <v>l</v>
      </c>
      <c r="CW7" s="10" t="str">
        <f t="shared" si="39"/>
        <v>m</v>
      </c>
      <c r="CX7" s="10" t="str">
        <f t="shared" si="39"/>
        <v>m</v>
      </c>
      <c r="CY7" s="10" t="str">
        <f t="shared" si="39"/>
        <v>j</v>
      </c>
      <c r="CZ7" s="10" t="str">
        <f t="shared" si="39"/>
        <v>v</v>
      </c>
      <c r="DA7" s="10" t="str">
        <f t="shared" si="39"/>
        <v>s</v>
      </c>
      <c r="DB7" s="10" t="str">
        <f t="shared" si="39"/>
        <v>d</v>
      </c>
      <c r="DC7" s="10" t="str">
        <f t="shared" si="39"/>
        <v>l</v>
      </c>
      <c r="DD7" s="10" t="str">
        <f t="shared" si="39"/>
        <v>m</v>
      </c>
      <c r="DE7" s="10" t="str">
        <f t="shared" si="39"/>
        <v>m</v>
      </c>
      <c r="DF7" s="10" t="str">
        <f t="shared" si="39"/>
        <v>j</v>
      </c>
      <c r="DG7" s="10" t="str">
        <f t="shared" si="39"/>
        <v>v</v>
      </c>
      <c r="DH7" s="10" t="str">
        <f t="shared" si="39"/>
        <v>s</v>
      </c>
      <c r="DI7" s="10" t="str">
        <f t="shared" si="39"/>
        <v>d</v>
      </c>
      <c r="DJ7" s="10" t="str">
        <f t="shared" si="39"/>
        <v>l</v>
      </c>
      <c r="DK7" s="10" t="str">
        <f t="shared" si="39"/>
        <v>m</v>
      </c>
      <c r="DL7" s="10" t="str">
        <f t="shared" si="39"/>
        <v>m</v>
      </c>
      <c r="DM7" s="10" t="str">
        <f t="shared" si="39"/>
        <v>j</v>
      </c>
      <c r="DN7" s="10" t="str">
        <f t="shared" si="39"/>
        <v>v</v>
      </c>
      <c r="DO7" s="10" t="str">
        <f t="shared" si="39"/>
        <v>s</v>
      </c>
      <c r="DP7" s="10" t="str">
        <f t="shared" si="39"/>
        <v>d</v>
      </c>
      <c r="DQ7" s="10" t="str">
        <f t="shared" si="39"/>
        <v>l</v>
      </c>
      <c r="DR7" s="10" t="str">
        <f t="shared" si="39"/>
        <v>m</v>
      </c>
      <c r="DS7" s="10" t="str">
        <f t="shared" si="39"/>
        <v>m</v>
      </c>
      <c r="DT7" s="10" t="str">
        <f t="shared" si="39"/>
        <v>j</v>
      </c>
      <c r="DU7" s="10" t="str">
        <f t="shared" si="39"/>
        <v>v</v>
      </c>
      <c r="DV7" s="10" t="str">
        <f t="shared" si="39"/>
        <v>s</v>
      </c>
      <c r="DW7" s="10" t="str">
        <f t="shared" si="39"/>
        <v>d</v>
      </c>
      <c r="DX7" s="10" t="str">
        <f t="shared" si="39"/>
        <v>l</v>
      </c>
      <c r="DY7" s="10" t="str">
        <f t="shared" si="39"/>
        <v>m</v>
      </c>
      <c r="DZ7" s="10" t="str">
        <f t="shared" si="39"/>
        <v>m</v>
      </c>
      <c r="EA7" s="10" t="str">
        <f t="shared" si="39"/>
        <v>j</v>
      </c>
      <c r="EB7" s="10" t="str">
        <f t="shared" si="39"/>
        <v>v</v>
      </c>
      <c r="EC7" s="10" t="str">
        <f t="shared" si="39"/>
        <v>s</v>
      </c>
      <c r="ED7" s="10" t="str">
        <f t="shared" si="39"/>
        <v>d</v>
      </c>
      <c r="EE7" s="10" t="str">
        <f t="shared" si="39"/>
        <v>l</v>
      </c>
      <c r="EF7" s="10" t="str">
        <f t="shared" si="39"/>
        <v>m</v>
      </c>
      <c r="EG7" s="10" t="str">
        <f t="shared" si="39"/>
        <v>m</v>
      </c>
      <c r="EH7" s="10" t="str">
        <f t="shared" si="39"/>
        <v>j</v>
      </c>
      <c r="EI7" s="10" t="str">
        <f t="shared" si="39"/>
        <v>v</v>
      </c>
      <c r="EJ7" s="10" t="str">
        <f t="shared" si="39"/>
        <v>s</v>
      </c>
      <c r="EK7" s="10" t="str">
        <f t="shared" si="39"/>
        <v>d</v>
      </c>
      <c r="EL7" s="10" t="str">
        <f t="shared" si="39"/>
        <v>l</v>
      </c>
      <c r="EM7" s="10" t="str">
        <f t="shared" si="39"/>
        <v>m</v>
      </c>
      <c r="EN7" s="10" t="str">
        <f t="shared" si="39"/>
        <v>m</v>
      </c>
      <c r="EO7" s="10" t="str">
        <f t="shared" si="39"/>
        <v>j</v>
      </c>
      <c r="EP7" s="10" t="str">
        <f t="shared" si="39"/>
        <v>v</v>
      </c>
      <c r="EQ7" s="10" t="str">
        <f t="shared" si="39"/>
        <v>s</v>
      </c>
      <c r="ER7" s="10" t="str">
        <f t="shared" si="39"/>
        <v>d</v>
      </c>
      <c r="ES7" s="10" t="str">
        <f t="shared" si="39"/>
        <v>l</v>
      </c>
      <c r="ET7" s="10" t="str">
        <f t="shared" ref="ET7:HD7" si="40">LEFT(TEXT(ET6,"jjj"),1)</f>
        <v>m</v>
      </c>
      <c r="EU7" s="10" t="str">
        <f t="shared" si="40"/>
        <v>m</v>
      </c>
      <c r="EV7" s="10" t="str">
        <f t="shared" si="40"/>
        <v>j</v>
      </c>
      <c r="EW7" s="10" t="str">
        <f t="shared" si="40"/>
        <v>v</v>
      </c>
      <c r="EX7" s="10" t="str">
        <f t="shared" si="40"/>
        <v>s</v>
      </c>
      <c r="EY7" s="10" t="str">
        <f t="shared" si="40"/>
        <v>d</v>
      </c>
      <c r="EZ7" s="10" t="str">
        <f t="shared" si="40"/>
        <v>l</v>
      </c>
      <c r="FA7" s="10" t="str">
        <f t="shared" si="40"/>
        <v>m</v>
      </c>
      <c r="FB7" s="10" t="str">
        <f t="shared" si="40"/>
        <v>m</v>
      </c>
      <c r="FC7" s="10" t="str">
        <f t="shared" si="40"/>
        <v>j</v>
      </c>
      <c r="FD7" s="10" t="str">
        <f t="shared" si="40"/>
        <v>v</v>
      </c>
      <c r="FE7" s="10" t="str">
        <f t="shared" si="40"/>
        <v>s</v>
      </c>
      <c r="FF7" s="10" t="str">
        <f t="shared" si="40"/>
        <v>d</v>
      </c>
      <c r="FG7" s="10" t="str">
        <f t="shared" si="40"/>
        <v>l</v>
      </c>
      <c r="FH7" s="10" t="str">
        <f t="shared" si="40"/>
        <v>m</v>
      </c>
      <c r="FI7" s="10" t="str">
        <f t="shared" si="40"/>
        <v>m</v>
      </c>
      <c r="FJ7" s="10" t="str">
        <f t="shared" si="40"/>
        <v>j</v>
      </c>
      <c r="FK7" s="10" t="str">
        <f t="shared" si="40"/>
        <v>v</v>
      </c>
      <c r="FL7" s="10" t="str">
        <f t="shared" si="40"/>
        <v>s</v>
      </c>
      <c r="FM7" s="10" t="str">
        <f t="shared" si="40"/>
        <v>d</v>
      </c>
      <c r="FN7" s="10" t="str">
        <f t="shared" si="40"/>
        <v>l</v>
      </c>
      <c r="FO7" s="10" t="str">
        <f t="shared" si="40"/>
        <v>m</v>
      </c>
      <c r="FP7" s="10" t="str">
        <f t="shared" si="40"/>
        <v>m</v>
      </c>
      <c r="FQ7" s="10" t="str">
        <f t="shared" si="40"/>
        <v>j</v>
      </c>
      <c r="FR7" s="10" t="str">
        <f t="shared" si="40"/>
        <v>v</v>
      </c>
      <c r="FS7" s="10" t="str">
        <f t="shared" si="40"/>
        <v>s</v>
      </c>
      <c r="FT7" s="10" t="str">
        <f t="shared" si="40"/>
        <v>d</v>
      </c>
      <c r="FU7" s="10" t="str">
        <f t="shared" si="40"/>
        <v>l</v>
      </c>
      <c r="FV7" s="10" t="str">
        <f t="shared" si="40"/>
        <v>m</v>
      </c>
      <c r="FW7" s="10" t="str">
        <f t="shared" si="40"/>
        <v>m</v>
      </c>
      <c r="FX7" s="10" t="str">
        <f t="shared" si="40"/>
        <v>j</v>
      </c>
      <c r="FY7" s="10" t="str">
        <f t="shared" si="40"/>
        <v>v</v>
      </c>
      <c r="FZ7" s="10" t="str">
        <f t="shared" si="40"/>
        <v>s</v>
      </c>
      <c r="GA7" s="10" t="str">
        <f t="shared" si="40"/>
        <v>d</v>
      </c>
      <c r="GB7" s="10" t="str">
        <f t="shared" si="40"/>
        <v>l</v>
      </c>
      <c r="GC7" s="10" t="str">
        <f t="shared" si="40"/>
        <v>m</v>
      </c>
      <c r="GD7" s="10" t="str">
        <f t="shared" si="40"/>
        <v>m</v>
      </c>
      <c r="GE7" s="10" t="str">
        <f t="shared" si="40"/>
        <v>j</v>
      </c>
      <c r="GF7" s="10" t="str">
        <f t="shared" si="40"/>
        <v>v</v>
      </c>
      <c r="GG7" s="10" t="str">
        <f t="shared" si="40"/>
        <v>s</v>
      </c>
      <c r="GH7" s="10" t="str">
        <f t="shared" si="40"/>
        <v>d</v>
      </c>
      <c r="GI7" s="10" t="str">
        <f t="shared" si="40"/>
        <v>l</v>
      </c>
      <c r="GJ7" s="10" t="str">
        <f t="shared" si="40"/>
        <v>m</v>
      </c>
      <c r="GK7" s="10" t="str">
        <f t="shared" si="40"/>
        <v>m</v>
      </c>
      <c r="GL7" s="10" t="str">
        <f t="shared" si="40"/>
        <v>j</v>
      </c>
      <c r="GM7" s="10" t="str">
        <f t="shared" si="40"/>
        <v>v</v>
      </c>
      <c r="GN7" s="10" t="str">
        <f t="shared" si="40"/>
        <v>s</v>
      </c>
      <c r="GO7" s="10" t="str">
        <f t="shared" si="40"/>
        <v>d</v>
      </c>
      <c r="GP7" s="10" t="str">
        <f t="shared" si="40"/>
        <v>l</v>
      </c>
      <c r="GQ7" s="10" t="str">
        <f t="shared" si="40"/>
        <v>m</v>
      </c>
      <c r="GR7" s="10" t="str">
        <f t="shared" si="40"/>
        <v>m</v>
      </c>
      <c r="GS7" s="10" t="str">
        <f t="shared" si="40"/>
        <v>j</v>
      </c>
      <c r="GT7" s="10" t="str">
        <f t="shared" si="40"/>
        <v>v</v>
      </c>
      <c r="GU7" s="10" t="str">
        <f t="shared" si="40"/>
        <v>s</v>
      </c>
      <c r="GV7" s="10" t="str">
        <f t="shared" si="40"/>
        <v>d</v>
      </c>
      <c r="GW7" s="10" t="str">
        <f t="shared" si="40"/>
        <v>l</v>
      </c>
      <c r="GX7" s="10" t="str">
        <f t="shared" si="40"/>
        <v>m</v>
      </c>
      <c r="GY7" s="10" t="str">
        <f t="shared" si="40"/>
        <v>m</v>
      </c>
      <c r="GZ7" s="10" t="str">
        <f t="shared" si="40"/>
        <v>j</v>
      </c>
      <c r="HA7" s="10" t="str">
        <f t="shared" si="40"/>
        <v>v</v>
      </c>
      <c r="HB7" s="10" t="str">
        <f t="shared" si="40"/>
        <v>s</v>
      </c>
      <c r="HC7" s="10" t="str">
        <f t="shared" si="40"/>
        <v>d</v>
      </c>
      <c r="HD7" s="10" t="str">
        <f t="shared" si="40"/>
        <v>l</v>
      </c>
      <c r="HE7" s="10" t="str">
        <f t="shared" ref="HE7:HJ7" si="41">LEFT(TEXT(HE6,"jjj"),1)</f>
        <v>m</v>
      </c>
      <c r="HF7" s="10" t="str">
        <f t="shared" si="41"/>
        <v>m</v>
      </c>
      <c r="HG7" s="10" t="str">
        <f t="shared" si="41"/>
        <v>j</v>
      </c>
      <c r="HH7" s="10" t="str">
        <f t="shared" si="41"/>
        <v>v</v>
      </c>
      <c r="HI7" s="10" t="str">
        <f t="shared" si="41"/>
        <v>s</v>
      </c>
      <c r="HJ7" s="10" t="str">
        <f t="shared" si="41"/>
        <v>d</v>
      </c>
    </row>
    <row r="8" spans="1:218" ht="15.95" hidden="1" customHeight="1" thickBot="1" x14ac:dyDescent="0.3">
      <c r="A8" s="36" t="s">
        <v>6</v>
      </c>
      <c r="C8" s="39"/>
      <c r="E8"/>
      <c r="H8" t="str">
        <f>IF(OR(ISBLANK(début_tâche),ISBLANK(fin_tâche)),"",fin_tâche-début_tâche+1)</f>
        <v/>
      </c>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row>
    <row r="9" spans="1:218" s="3" customFormat="1" ht="30" customHeight="1" thickBot="1" x14ac:dyDescent="0.3">
      <c r="A9" s="37" t="s">
        <v>7</v>
      </c>
      <c r="B9" s="13" t="s">
        <v>35</v>
      </c>
      <c r="C9" s="40"/>
      <c r="D9" s="14"/>
      <c r="E9" s="56"/>
      <c r="F9" s="57"/>
      <c r="G9" s="75"/>
      <c r="H9" s="75" t="str">
        <f t="shared" ref="H9:H31" si="42">IF(OR(ISBLANK(début_tâche),ISBLANK(fin_tâche)),"",fin_tâche-début_tâche+1)</f>
        <v/>
      </c>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c r="CC9" s="73"/>
      <c r="CD9" s="73"/>
      <c r="CE9" s="73"/>
      <c r="CF9" s="73"/>
      <c r="CG9" s="73"/>
      <c r="CH9" s="73"/>
      <c r="CI9" s="73"/>
      <c r="CJ9" s="73"/>
      <c r="CK9" s="73"/>
      <c r="CL9" s="73"/>
      <c r="CM9" s="73"/>
      <c r="CN9" s="73"/>
      <c r="CO9" s="73"/>
      <c r="CP9" s="73"/>
      <c r="CQ9" s="73"/>
      <c r="CR9" s="73"/>
      <c r="CS9" s="73"/>
      <c r="CT9" s="73"/>
      <c r="CU9" s="73"/>
      <c r="CV9" s="73"/>
      <c r="CW9" s="73"/>
      <c r="CX9" s="73"/>
      <c r="CY9" s="73"/>
      <c r="CZ9" s="73"/>
      <c r="DA9" s="73"/>
      <c r="DB9" s="73"/>
      <c r="DC9" s="73"/>
      <c r="DD9" s="73"/>
      <c r="DE9" s="73"/>
      <c r="DF9" s="73"/>
      <c r="DG9" s="73"/>
      <c r="DH9" s="73"/>
      <c r="DI9" s="73"/>
      <c r="DJ9" s="73"/>
      <c r="DK9" s="73"/>
      <c r="DL9" s="73"/>
      <c r="DM9" s="73"/>
      <c r="DN9" s="73"/>
      <c r="DO9" s="73"/>
      <c r="DP9" s="73"/>
      <c r="DQ9" s="73"/>
      <c r="DR9" s="73"/>
      <c r="DS9" s="73"/>
      <c r="DT9" s="73"/>
      <c r="DU9" s="73"/>
      <c r="DV9" s="73"/>
      <c r="DW9" s="73"/>
      <c r="DX9" s="73"/>
      <c r="DY9" s="73"/>
      <c r="DZ9" s="73"/>
      <c r="EA9" s="73"/>
      <c r="EB9" s="73"/>
      <c r="EC9" s="73"/>
      <c r="ED9" s="73"/>
      <c r="EE9" s="73"/>
      <c r="EF9" s="73"/>
      <c r="EG9" s="73"/>
      <c r="EH9" s="73"/>
      <c r="EI9" s="73"/>
      <c r="EJ9" s="73"/>
      <c r="EK9" s="73"/>
      <c r="EL9" s="73"/>
      <c r="EM9" s="73"/>
      <c r="EN9" s="73"/>
      <c r="EO9" s="73"/>
      <c r="EP9" s="73"/>
      <c r="EQ9" s="73"/>
      <c r="ER9" s="73"/>
      <c r="ES9" s="73"/>
      <c r="ET9" s="73"/>
      <c r="EU9" s="73"/>
      <c r="EV9" s="73"/>
      <c r="EW9" s="73"/>
      <c r="EX9" s="73"/>
      <c r="EY9" s="73"/>
      <c r="EZ9" s="73"/>
      <c r="FA9" s="73"/>
      <c r="FB9" s="73"/>
      <c r="FC9" s="73"/>
      <c r="FD9" s="73"/>
      <c r="FE9" s="73"/>
      <c r="FF9" s="73"/>
      <c r="FG9" s="73"/>
      <c r="FH9" s="73"/>
      <c r="FI9" s="73"/>
      <c r="FJ9" s="73"/>
      <c r="FK9" s="73"/>
      <c r="FL9" s="73"/>
      <c r="FM9" s="73"/>
      <c r="FN9" s="73"/>
      <c r="FO9" s="73"/>
      <c r="FP9" s="73"/>
      <c r="FQ9" s="73"/>
      <c r="FR9" s="73"/>
      <c r="FS9" s="73"/>
      <c r="FT9" s="73"/>
      <c r="FU9" s="73"/>
      <c r="FV9" s="73"/>
      <c r="FW9" s="73"/>
      <c r="FX9" s="73"/>
      <c r="FY9" s="73"/>
      <c r="FZ9" s="73"/>
      <c r="GA9" s="73"/>
      <c r="GB9" s="73"/>
      <c r="GC9" s="73"/>
      <c r="GD9" s="73"/>
      <c r="GE9" s="73"/>
      <c r="GF9" s="73"/>
      <c r="GG9" s="73"/>
      <c r="GH9" s="73"/>
      <c r="GI9" s="73"/>
      <c r="GJ9" s="73"/>
      <c r="GK9" s="73"/>
      <c r="GL9" s="73"/>
      <c r="GM9" s="73"/>
      <c r="GN9" s="73"/>
      <c r="GO9" s="73"/>
      <c r="GP9" s="73"/>
      <c r="GQ9" s="73"/>
      <c r="GR9" s="73"/>
      <c r="GS9" s="73"/>
      <c r="GT9" s="73"/>
      <c r="GU9" s="73"/>
      <c r="GV9" s="73"/>
      <c r="GW9" s="73"/>
      <c r="GX9" s="73"/>
      <c r="GY9" s="73"/>
      <c r="GZ9" s="73"/>
      <c r="HA9" s="73"/>
      <c r="HB9" s="73"/>
      <c r="HC9" s="73"/>
      <c r="HD9" s="73"/>
      <c r="HE9" s="73"/>
      <c r="HF9" s="73"/>
      <c r="HG9" s="73"/>
      <c r="HH9" s="73"/>
      <c r="HI9" s="73"/>
      <c r="HJ9" s="73"/>
    </row>
    <row r="10" spans="1:218" s="3" customFormat="1" ht="30" customHeight="1" thickBot="1" x14ac:dyDescent="0.3">
      <c r="A10" s="37" t="s">
        <v>8</v>
      </c>
      <c r="B10" s="48" t="s">
        <v>42</v>
      </c>
      <c r="C10" s="41" t="s">
        <v>40</v>
      </c>
      <c r="D10" s="15">
        <v>1</v>
      </c>
      <c r="E10" s="58">
        <f>Début_Projet</f>
        <v>45243</v>
      </c>
      <c r="F10" s="58">
        <f>E10+2</f>
        <v>45245</v>
      </c>
      <c r="G10" s="75"/>
      <c r="H10" s="75">
        <f t="shared" si="42"/>
        <v>3</v>
      </c>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c r="CC10" s="73"/>
      <c r="CD10" s="73"/>
      <c r="CE10" s="73"/>
      <c r="CF10" s="73"/>
      <c r="CG10" s="73"/>
      <c r="CH10" s="73"/>
      <c r="CI10" s="73"/>
      <c r="CJ10" s="73"/>
      <c r="CK10" s="73"/>
      <c r="CL10" s="73"/>
      <c r="CM10" s="73"/>
      <c r="CN10" s="73"/>
      <c r="CO10" s="73"/>
      <c r="CP10" s="73"/>
      <c r="CQ10" s="73"/>
      <c r="CR10" s="73"/>
      <c r="CS10" s="73"/>
      <c r="CT10" s="73"/>
      <c r="CU10" s="73"/>
      <c r="CV10" s="73"/>
      <c r="CW10" s="73"/>
      <c r="CX10" s="73"/>
      <c r="CY10" s="73"/>
      <c r="CZ10" s="73"/>
      <c r="DA10" s="73"/>
      <c r="DB10" s="73"/>
      <c r="DC10" s="73"/>
      <c r="DD10" s="73"/>
      <c r="DE10" s="73"/>
      <c r="DF10" s="73"/>
      <c r="DG10" s="73"/>
      <c r="DH10" s="73"/>
      <c r="DI10" s="73"/>
      <c r="DJ10" s="73"/>
      <c r="DK10" s="73"/>
      <c r="DL10" s="73"/>
      <c r="DM10" s="73"/>
      <c r="DN10" s="73"/>
      <c r="DO10" s="73"/>
      <c r="DP10" s="73"/>
      <c r="DQ10" s="73"/>
      <c r="DR10" s="73"/>
      <c r="DS10" s="73"/>
      <c r="DT10" s="73"/>
      <c r="DU10" s="73"/>
      <c r="DV10" s="73"/>
      <c r="DW10" s="73"/>
      <c r="DX10" s="73"/>
      <c r="DY10" s="73"/>
      <c r="DZ10" s="73"/>
      <c r="EA10" s="73"/>
      <c r="EB10" s="73"/>
      <c r="EC10" s="73"/>
      <c r="ED10" s="73"/>
      <c r="EE10" s="73"/>
      <c r="EF10" s="73"/>
      <c r="EG10" s="73"/>
      <c r="EH10" s="73"/>
      <c r="EI10" s="73"/>
      <c r="EJ10" s="73"/>
      <c r="EK10" s="73"/>
      <c r="EL10" s="73"/>
      <c r="EM10" s="73"/>
      <c r="EN10" s="73"/>
      <c r="EO10" s="73"/>
      <c r="EP10" s="73"/>
      <c r="EQ10" s="73"/>
      <c r="ER10" s="73"/>
      <c r="ES10" s="73"/>
      <c r="ET10" s="73"/>
      <c r="EU10" s="73"/>
      <c r="EV10" s="73"/>
      <c r="EW10" s="73"/>
      <c r="EX10" s="73"/>
      <c r="EY10" s="73"/>
      <c r="EZ10" s="73"/>
      <c r="FA10" s="73"/>
      <c r="FB10" s="73"/>
      <c r="FC10" s="73"/>
      <c r="FD10" s="73"/>
      <c r="FE10" s="73"/>
      <c r="FF10" s="73"/>
      <c r="FG10" s="73"/>
      <c r="FH10" s="73"/>
      <c r="FI10" s="73"/>
      <c r="FJ10" s="73"/>
      <c r="FK10" s="73"/>
      <c r="FL10" s="73"/>
      <c r="FM10" s="73"/>
      <c r="FN10" s="73"/>
      <c r="FO10" s="73"/>
      <c r="FP10" s="73"/>
      <c r="FQ10" s="73"/>
      <c r="FR10" s="73"/>
      <c r="FS10" s="73"/>
      <c r="FT10" s="73"/>
      <c r="FU10" s="73"/>
      <c r="FV10" s="73"/>
      <c r="FW10" s="73"/>
      <c r="FX10" s="73"/>
      <c r="FY10" s="73"/>
      <c r="FZ10" s="73"/>
      <c r="GA10" s="73"/>
      <c r="GB10" s="73"/>
      <c r="GC10" s="73"/>
      <c r="GD10" s="73"/>
      <c r="GE10" s="73"/>
      <c r="GF10" s="73"/>
      <c r="GG10" s="73"/>
      <c r="GH10" s="73"/>
      <c r="GI10" s="73"/>
      <c r="GJ10" s="73"/>
      <c r="GK10" s="73"/>
      <c r="GL10" s="73"/>
      <c r="GM10" s="73"/>
      <c r="GN10" s="73"/>
      <c r="GO10" s="73"/>
      <c r="GP10" s="73"/>
      <c r="GQ10" s="73"/>
      <c r="GR10" s="73"/>
      <c r="GS10" s="73"/>
      <c r="GT10" s="73"/>
      <c r="GU10" s="73"/>
      <c r="GV10" s="73"/>
      <c r="GW10" s="73"/>
      <c r="GX10" s="73"/>
      <c r="GY10" s="73"/>
      <c r="GZ10" s="73"/>
      <c r="HA10" s="73"/>
      <c r="HB10" s="73"/>
      <c r="HC10" s="73"/>
      <c r="HD10" s="73"/>
      <c r="HE10" s="73"/>
      <c r="HF10" s="73"/>
      <c r="HG10" s="73"/>
      <c r="HH10" s="73"/>
      <c r="HI10" s="73"/>
      <c r="HJ10" s="73"/>
    </row>
    <row r="11" spans="1:218" s="3" customFormat="1" ht="30" customHeight="1" thickBot="1" x14ac:dyDescent="0.3">
      <c r="A11" s="37" t="s">
        <v>9</v>
      </c>
      <c r="B11" s="48" t="s">
        <v>44</v>
      </c>
      <c r="C11" s="41" t="s">
        <v>40</v>
      </c>
      <c r="D11" s="15">
        <v>1</v>
      </c>
      <c r="E11" s="58">
        <f>E10</f>
        <v>45243</v>
      </c>
      <c r="F11" s="58">
        <f>E11+3</f>
        <v>45246</v>
      </c>
      <c r="G11" s="75"/>
      <c r="H11" s="75">
        <f t="shared" si="42"/>
        <v>4</v>
      </c>
      <c r="I11" s="73"/>
      <c r="J11" s="73"/>
      <c r="K11" s="73"/>
      <c r="L11" s="73"/>
      <c r="M11" s="73"/>
      <c r="N11" s="73"/>
      <c r="O11" s="73"/>
      <c r="P11" s="73"/>
      <c r="Q11" s="73"/>
      <c r="R11" s="73"/>
      <c r="S11" s="73"/>
      <c r="T11" s="73"/>
      <c r="U11" s="76"/>
      <c r="V11" s="76"/>
      <c r="W11" s="73"/>
      <c r="X11" s="73"/>
      <c r="Y11" s="73"/>
      <c r="Z11" s="73"/>
      <c r="AA11" s="73"/>
      <c r="AB11" s="73"/>
      <c r="AC11" s="73"/>
      <c r="AD11" s="73"/>
      <c r="AE11" s="73"/>
      <c r="AF11" s="73"/>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c r="CC11" s="73"/>
      <c r="CD11" s="73"/>
      <c r="CE11" s="73"/>
      <c r="CF11" s="73"/>
      <c r="CG11" s="73"/>
      <c r="CH11" s="73"/>
      <c r="CI11" s="73"/>
      <c r="CJ11" s="73"/>
      <c r="CK11" s="73"/>
      <c r="CL11" s="73"/>
      <c r="CM11" s="73"/>
      <c r="CN11" s="73"/>
      <c r="CO11" s="73"/>
      <c r="CP11" s="73"/>
      <c r="CQ11" s="73"/>
      <c r="CR11" s="73"/>
      <c r="CS11" s="73"/>
      <c r="CT11" s="73"/>
      <c r="CU11" s="73"/>
      <c r="CV11" s="73"/>
      <c r="CW11" s="73"/>
      <c r="CX11" s="73"/>
      <c r="CY11" s="73"/>
      <c r="CZ11" s="73"/>
      <c r="DA11" s="73"/>
      <c r="DB11" s="73"/>
      <c r="DC11" s="73"/>
      <c r="DD11" s="73"/>
      <c r="DE11" s="73"/>
      <c r="DF11" s="73"/>
      <c r="DG11" s="73"/>
      <c r="DH11" s="73"/>
      <c r="DI11" s="73"/>
      <c r="DJ11" s="73"/>
      <c r="DK11" s="73"/>
      <c r="DL11" s="73"/>
      <c r="DM11" s="73"/>
      <c r="DN11" s="73"/>
      <c r="DO11" s="73"/>
      <c r="DP11" s="73"/>
      <c r="DQ11" s="73"/>
      <c r="DR11" s="73"/>
      <c r="DS11" s="73"/>
      <c r="DT11" s="73"/>
      <c r="DU11" s="73"/>
      <c r="DV11" s="73"/>
      <c r="DW11" s="73"/>
      <c r="DX11" s="73"/>
      <c r="DY11" s="73"/>
      <c r="DZ11" s="73"/>
      <c r="EA11" s="73"/>
      <c r="EB11" s="73"/>
      <c r="EC11" s="73"/>
      <c r="ED11" s="73"/>
      <c r="EE11" s="73"/>
      <c r="EF11" s="73"/>
      <c r="EG11" s="73"/>
      <c r="EH11" s="73"/>
      <c r="EI11" s="73"/>
      <c r="EJ11" s="73"/>
      <c r="EK11" s="73"/>
      <c r="EL11" s="73"/>
      <c r="EM11" s="73"/>
      <c r="EN11" s="73"/>
      <c r="EO11" s="73"/>
      <c r="EP11" s="73"/>
      <c r="EQ11" s="73"/>
      <c r="ER11" s="73"/>
      <c r="ES11" s="73"/>
      <c r="ET11" s="73"/>
      <c r="EU11" s="73"/>
      <c r="EV11" s="73"/>
      <c r="EW11" s="73"/>
      <c r="EX11" s="73"/>
      <c r="EY11" s="73"/>
      <c r="EZ11" s="73"/>
      <c r="FA11" s="73"/>
      <c r="FB11" s="73"/>
      <c r="FC11" s="73"/>
      <c r="FD11" s="73"/>
      <c r="FE11" s="73"/>
      <c r="FF11" s="73"/>
      <c r="FG11" s="73"/>
      <c r="FH11" s="73"/>
      <c r="FI11" s="73"/>
      <c r="FJ11" s="73"/>
      <c r="FK11" s="73"/>
      <c r="FL11" s="73"/>
      <c r="FM11" s="73"/>
      <c r="FN11" s="73"/>
      <c r="FO11" s="73"/>
      <c r="FP11" s="73"/>
      <c r="FQ11" s="73"/>
      <c r="FR11" s="73"/>
      <c r="FS11" s="73"/>
      <c r="FT11" s="73"/>
      <c r="FU11" s="73"/>
      <c r="FV11" s="73"/>
      <c r="FW11" s="73"/>
      <c r="FX11" s="73"/>
      <c r="FY11" s="73"/>
      <c r="FZ11" s="73"/>
      <c r="GA11" s="73"/>
      <c r="GB11" s="73"/>
      <c r="GC11" s="73"/>
      <c r="GD11" s="73"/>
      <c r="GE11" s="73"/>
      <c r="GF11" s="73"/>
      <c r="GG11" s="73"/>
      <c r="GH11" s="73"/>
      <c r="GI11" s="73"/>
      <c r="GJ11" s="73"/>
      <c r="GK11" s="73"/>
      <c r="GL11" s="73"/>
      <c r="GM11" s="73"/>
      <c r="GN11" s="73"/>
      <c r="GO11" s="73"/>
      <c r="GP11" s="73"/>
      <c r="GQ11" s="73"/>
      <c r="GR11" s="73"/>
      <c r="GS11" s="73"/>
      <c r="GT11" s="73"/>
      <c r="GU11" s="73"/>
      <c r="GV11" s="73"/>
      <c r="GW11" s="73"/>
      <c r="GX11" s="73"/>
      <c r="GY11" s="73"/>
      <c r="GZ11" s="73"/>
      <c r="HA11" s="73"/>
      <c r="HB11" s="73"/>
      <c r="HC11" s="73"/>
      <c r="HD11" s="73"/>
      <c r="HE11" s="73"/>
      <c r="HF11" s="73"/>
      <c r="HG11" s="73"/>
      <c r="HH11" s="73"/>
      <c r="HI11" s="73"/>
      <c r="HJ11" s="73"/>
    </row>
    <row r="12" spans="1:218" s="3" customFormat="1" ht="30" customHeight="1" thickBot="1" x14ac:dyDescent="0.3">
      <c r="A12" s="36"/>
      <c r="B12" s="48" t="s">
        <v>45</v>
      </c>
      <c r="C12" s="41" t="s">
        <v>40</v>
      </c>
      <c r="D12" s="15">
        <v>0.75</v>
      </c>
      <c r="E12" s="58">
        <f>E10</f>
        <v>45243</v>
      </c>
      <c r="F12" s="58">
        <f>E12+5</f>
        <v>45248</v>
      </c>
      <c r="G12" s="75"/>
      <c r="H12" s="75">
        <f t="shared" si="42"/>
        <v>6</v>
      </c>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c r="CC12" s="73"/>
      <c r="CD12" s="73"/>
      <c r="CE12" s="73"/>
      <c r="CF12" s="73"/>
      <c r="CG12" s="73"/>
      <c r="CH12" s="73"/>
      <c r="CI12" s="73"/>
      <c r="CJ12" s="73"/>
      <c r="CK12" s="73"/>
      <c r="CL12" s="73"/>
      <c r="CM12" s="73"/>
      <c r="CN12" s="73"/>
      <c r="CO12" s="73"/>
      <c r="CP12" s="73"/>
      <c r="CQ12" s="73"/>
      <c r="CR12" s="73"/>
      <c r="CS12" s="73"/>
      <c r="CT12" s="73"/>
      <c r="CU12" s="73"/>
      <c r="CV12" s="73"/>
      <c r="CW12" s="73"/>
      <c r="CX12" s="73"/>
      <c r="CY12" s="73"/>
      <c r="CZ12" s="73"/>
      <c r="DA12" s="73"/>
      <c r="DB12" s="73"/>
      <c r="DC12" s="73"/>
      <c r="DD12" s="73"/>
      <c r="DE12" s="73"/>
      <c r="DF12" s="73"/>
      <c r="DG12" s="73"/>
      <c r="DH12" s="73"/>
      <c r="DI12" s="73"/>
      <c r="DJ12" s="73"/>
      <c r="DK12" s="73"/>
      <c r="DL12" s="73"/>
      <c r="DM12" s="73"/>
      <c r="DN12" s="73"/>
      <c r="DO12" s="73"/>
      <c r="DP12" s="73"/>
      <c r="DQ12" s="73"/>
      <c r="DR12" s="73"/>
      <c r="DS12" s="73"/>
      <c r="DT12" s="73"/>
      <c r="DU12" s="73"/>
      <c r="DV12" s="73"/>
      <c r="DW12" s="73"/>
      <c r="DX12" s="73"/>
      <c r="DY12" s="73"/>
      <c r="DZ12" s="73"/>
      <c r="EA12" s="73"/>
      <c r="EB12" s="73"/>
      <c r="EC12" s="73"/>
      <c r="ED12" s="73"/>
      <c r="EE12" s="73"/>
      <c r="EF12" s="73"/>
      <c r="EG12" s="73"/>
      <c r="EH12" s="73"/>
      <c r="EI12" s="73"/>
      <c r="EJ12" s="73"/>
      <c r="EK12" s="73"/>
      <c r="EL12" s="73"/>
      <c r="EM12" s="73"/>
      <c r="EN12" s="73"/>
      <c r="EO12" s="73"/>
      <c r="EP12" s="73"/>
      <c r="EQ12" s="73"/>
      <c r="ER12" s="73"/>
      <c r="ES12" s="73"/>
      <c r="ET12" s="73"/>
      <c r="EU12" s="73"/>
      <c r="EV12" s="73"/>
      <c r="EW12" s="73"/>
      <c r="EX12" s="73"/>
      <c r="EY12" s="73"/>
      <c r="EZ12" s="73"/>
      <c r="FA12" s="73"/>
      <c r="FB12" s="73"/>
      <c r="FC12" s="73"/>
      <c r="FD12" s="73"/>
      <c r="FE12" s="73"/>
      <c r="FF12" s="73"/>
      <c r="FG12" s="73"/>
      <c r="FH12" s="73"/>
      <c r="FI12" s="73"/>
      <c r="FJ12" s="73"/>
      <c r="FK12" s="73"/>
      <c r="FL12" s="73"/>
      <c r="FM12" s="73"/>
      <c r="FN12" s="73"/>
      <c r="FO12" s="73"/>
      <c r="FP12" s="73"/>
      <c r="FQ12" s="73"/>
      <c r="FR12" s="73"/>
      <c r="FS12" s="73"/>
      <c r="FT12" s="73"/>
      <c r="FU12" s="73"/>
      <c r="FV12" s="73"/>
      <c r="FW12" s="73"/>
      <c r="FX12" s="73"/>
      <c r="FY12" s="73"/>
      <c r="FZ12" s="73"/>
      <c r="GA12" s="73"/>
      <c r="GB12" s="73"/>
      <c r="GC12" s="73"/>
      <c r="GD12" s="73"/>
      <c r="GE12" s="73"/>
      <c r="GF12" s="73"/>
      <c r="GG12" s="73"/>
      <c r="GH12" s="73"/>
      <c r="GI12" s="73"/>
      <c r="GJ12" s="73"/>
      <c r="GK12" s="73"/>
      <c r="GL12" s="73"/>
      <c r="GM12" s="73"/>
      <c r="GN12" s="73"/>
      <c r="GO12" s="73"/>
      <c r="GP12" s="73"/>
      <c r="GQ12" s="73"/>
      <c r="GR12" s="73"/>
      <c r="GS12" s="73"/>
      <c r="GT12" s="73"/>
      <c r="GU12" s="73"/>
      <c r="GV12" s="73"/>
      <c r="GW12" s="73"/>
      <c r="GX12" s="73"/>
      <c r="GY12" s="73"/>
      <c r="GZ12" s="73"/>
      <c r="HA12" s="73"/>
      <c r="HB12" s="73"/>
      <c r="HC12" s="73"/>
      <c r="HD12" s="73"/>
      <c r="HE12" s="73"/>
      <c r="HF12" s="73"/>
      <c r="HG12" s="73"/>
      <c r="HH12" s="73"/>
      <c r="HI12" s="73"/>
      <c r="HJ12" s="73"/>
    </row>
    <row r="13" spans="1:218" s="3" customFormat="1" ht="30" customHeight="1" thickBot="1" x14ac:dyDescent="0.3">
      <c r="A13" s="36"/>
      <c r="B13" s="48" t="s">
        <v>43</v>
      </c>
      <c r="C13" s="41" t="s">
        <v>40</v>
      </c>
      <c r="D13" s="15">
        <v>0.66</v>
      </c>
      <c r="E13" s="58">
        <v>45246</v>
      </c>
      <c r="F13" s="58">
        <f>E13+8</f>
        <v>45254</v>
      </c>
      <c r="G13" s="75"/>
      <c r="H13" s="75">
        <f t="shared" si="42"/>
        <v>9</v>
      </c>
      <c r="I13" s="73"/>
      <c r="J13" s="73"/>
      <c r="K13" s="73"/>
      <c r="L13" s="73"/>
      <c r="M13" s="73"/>
      <c r="N13" s="73"/>
      <c r="O13" s="73"/>
      <c r="P13" s="73"/>
      <c r="Q13" s="73"/>
      <c r="R13" s="73"/>
      <c r="S13" s="73"/>
      <c r="T13" s="73"/>
      <c r="U13" s="73"/>
      <c r="V13" s="73"/>
      <c r="W13" s="73"/>
      <c r="X13" s="73"/>
      <c r="Y13" s="76"/>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c r="CC13" s="73"/>
      <c r="CD13" s="73"/>
      <c r="CE13" s="73"/>
      <c r="CF13" s="73"/>
      <c r="CG13" s="73"/>
      <c r="CH13" s="73"/>
      <c r="CI13" s="73"/>
      <c r="CJ13" s="73"/>
      <c r="CK13" s="73"/>
      <c r="CL13" s="73"/>
      <c r="CM13" s="73"/>
      <c r="CN13" s="73"/>
      <c r="CO13" s="73"/>
      <c r="CP13" s="73"/>
      <c r="CQ13" s="73"/>
      <c r="CR13" s="73"/>
      <c r="CS13" s="73"/>
      <c r="CT13" s="73"/>
      <c r="CU13" s="73"/>
      <c r="CV13" s="73"/>
      <c r="CW13" s="73"/>
      <c r="CX13" s="73"/>
      <c r="CY13" s="73"/>
      <c r="CZ13" s="73"/>
      <c r="DA13" s="73"/>
      <c r="DB13" s="73"/>
      <c r="DC13" s="73"/>
      <c r="DD13" s="73"/>
      <c r="DE13" s="73"/>
      <c r="DF13" s="73"/>
      <c r="DG13" s="73"/>
      <c r="DH13" s="73"/>
      <c r="DI13" s="73"/>
      <c r="DJ13" s="73"/>
      <c r="DK13" s="73"/>
      <c r="DL13" s="73"/>
      <c r="DM13" s="73"/>
      <c r="DN13" s="73"/>
      <c r="DO13" s="73"/>
      <c r="DP13" s="73"/>
      <c r="DQ13" s="73"/>
      <c r="DR13" s="73"/>
      <c r="DS13" s="73"/>
      <c r="DT13" s="73"/>
      <c r="DU13" s="73"/>
      <c r="DV13" s="73"/>
      <c r="DW13" s="73"/>
      <c r="DX13" s="73"/>
      <c r="DY13" s="73"/>
      <c r="DZ13" s="73"/>
      <c r="EA13" s="73"/>
      <c r="EB13" s="73"/>
      <c r="EC13" s="73"/>
      <c r="ED13" s="73"/>
      <c r="EE13" s="73"/>
      <c r="EF13" s="73"/>
      <c r="EG13" s="73"/>
      <c r="EH13" s="73"/>
      <c r="EI13" s="73"/>
      <c r="EJ13" s="73"/>
      <c r="EK13" s="73"/>
      <c r="EL13" s="73"/>
      <c r="EM13" s="73"/>
      <c r="EN13" s="73"/>
      <c r="EO13" s="73"/>
      <c r="EP13" s="73"/>
      <c r="EQ13" s="73"/>
      <c r="ER13" s="73"/>
      <c r="ES13" s="73"/>
      <c r="ET13" s="73"/>
      <c r="EU13" s="73"/>
      <c r="EV13" s="73"/>
      <c r="EW13" s="73"/>
      <c r="EX13" s="73"/>
      <c r="EY13" s="73"/>
      <c r="EZ13" s="73"/>
      <c r="FA13" s="73"/>
      <c r="FB13" s="73"/>
      <c r="FC13" s="73"/>
      <c r="FD13" s="73"/>
      <c r="FE13" s="73"/>
      <c r="FF13" s="73"/>
      <c r="FG13" s="73"/>
      <c r="FH13" s="73"/>
      <c r="FI13" s="73"/>
      <c r="FJ13" s="73"/>
      <c r="FK13" s="73"/>
      <c r="FL13" s="73"/>
      <c r="FM13" s="73"/>
      <c r="FN13" s="73"/>
      <c r="FO13" s="73"/>
      <c r="FP13" s="73"/>
      <c r="FQ13" s="73"/>
      <c r="FR13" s="73"/>
      <c r="FS13" s="73"/>
      <c r="FT13" s="73"/>
      <c r="FU13" s="73"/>
      <c r="FV13" s="73"/>
      <c r="FW13" s="73"/>
      <c r="FX13" s="73"/>
      <c r="FY13" s="73"/>
      <c r="FZ13" s="73"/>
      <c r="GA13" s="73"/>
      <c r="GB13" s="73"/>
      <c r="GC13" s="73"/>
      <c r="GD13" s="73"/>
      <c r="GE13" s="73"/>
      <c r="GF13" s="73"/>
      <c r="GG13" s="73"/>
      <c r="GH13" s="73"/>
      <c r="GI13" s="73"/>
      <c r="GJ13" s="73"/>
      <c r="GK13" s="73"/>
      <c r="GL13" s="73"/>
      <c r="GM13" s="73"/>
      <c r="GN13" s="73"/>
      <c r="GO13" s="73"/>
      <c r="GP13" s="73"/>
      <c r="GQ13" s="73"/>
      <c r="GR13" s="73"/>
      <c r="GS13" s="73"/>
      <c r="GT13" s="73"/>
      <c r="GU13" s="73"/>
      <c r="GV13" s="73"/>
      <c r="GW13" s="73"/>
      <c r="GX13" s="73"/>
      <c r="GY13" s="73"/>
      <c r="GZ13" s="73"/>
      <c r="HA13" s="73"/>
      <c r="HB13" s="73"/>
      <c r="HC13" s="73"/>
      <c r="HD13" s="73"/>
      <c r="HE13" s="73"/>
      <c r="HF13" s="73"/>
      <c r="HG13" s="73"/>
      <c r="HH13" s="73"/>
      <c r="HI13" s="73"/>
      <c r="HJ13" s="73"/>
    </row>
    <row r="14" spans="1:218" s="3" customFormat="1" ht="30" customHeight="1" thickBot="1" x14ac:dyDescent="0.3">
      <c r="A14" s="37" t="s">
        <v>10</v>
      </c>
      <c r="B14" s="16" t="s">
        <v>46</v>
      </c>
      <c r="C14" s="42"/>
      <c r="D14" s="17"/>
      <c r="E14" s="59"/>
      <c r="F14" s="60"/>
      <c r="G14" s="75"/>
      <c r="H14" s="75" t="str">
        <f t="shared" si="42"/>
        <v/>
      </c>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c r="CC14" s="73"/>
      <c r="CD14" s="73"/>
      <c r="CE14" s="73"/>
      <c r="CF14" s="73"/>
      <c r="CG14" s="73"/>
      <c r="CH14" s="73"/>
      <c r="CI14" s="73"/>
      <c r="CJ14" s="73"/>
      <c r="CK14" s="73"/>
      <c r="CL14" s="73"/>
      <c r="CM14" s="73"/>
      <c r="CN14" s="73"/>
      <c r="CO14" s="73"/>
      <c r="CP14" s="73"/>
      <c r="CQ14" s="73"/>
      <c r="CR14" s="73"/>
      <c r="CS14" s="73"/>
      <c r="CT14" s="73"/>
      <c r="CU14" s="73"/>
      <c r="CV14" s="73"/>
      <c r="CW14" s="73"/>
      <c r="CX14" s="73"/>
      <c r="CY14" s="73"/>
      <c r="CZ14" s="73"/>
      <c r="DA14" s="73"/>
      <c r="DB14" s="73"/>
      <c r="DC14" s="73"/>
      <c r="DD14" s="73"/>
      <c r="DE14" s="73"/>
      <c r="DF14" s="73"/>
      <c r="DG14" s="73"/>
      <c r="DH14" s="73"/>
      <c r="DI14" s="73"/>
      <c r="DJ14" s="73"/>
      <c r="DK14" s="73"/>
      <c r="DL14" s="73"/>
      <c r="DM14" s="73"/>
      <c r="DN14" s="73"/>
      <c r="DO14" s="73"/>
      <c r="DP14" s="73"/>
      <c r="DQ14" s="73"/>
      <c r="DR14" s="73"/>
      <c r="DS14" s="73"/>
      <c r="DT14" s="73"/>
      <c r="DU14" s="73"/>
      <c r="DV14" s="73"/>
      <c r="DW14" s="73"/>
      <c r="DX14" s="73"/>
      <c r="DY14" s="73"/>
      <c r="DZ14" s="73"/>
      <c r="EA14" s="73"/>
      <c r="EB14" s="73"/>
      <c r="EC14" s="73"/>
      <c r="ED14" s="73"/>
      <c r="EE14" s="73"/>
      <c r="EF14" s="73"/>
      <c r="EG14" s="73"/>
      <c r="EH14" s="73"/>
      <c r="EI14" s="73"/>
      <c r="EJ14" s="73"/>
      <c r="EK14" s="73"/>
      <c r="EL14" s="73"/>
      <c r="EM14" s="73"/>
      <c r="EN14" s="73"/>
      <c r="EO14" s="73"/>
      <c r="EP14" s="73"/>
      <c r="EQ14" s="73"/>
      <c r="ER14" s="73"/>
      <c r="ES14" s="73"/>
      <c r="ET14" s="73"/>
      <c r="EU14" s="73"/>
      <c r="EV14" s="73"/>
      <c r="EW14" s="73"/>
      <c r="EX14" s="73"/>
      <c r="EY14" s="73"/>
      <c r="EZ14" s="73"/>
      <c r="FA14" s="73"/>
      <c r="FB14" s="73"/>
      <c r="FC14" s="73"/>
      <c r="FD14" s="73"/>
      <c r="FE14" s="73"/>
      <c r="FF14" s="73"/>
      <c r="FG14" s="73"/>
      <c r="FH14" s="73"/>
      <c r="FI14" s="73"/>
      <c r="FJ14" s="73"/>
      <c r="FK14" s="73"/>
      <c r="FL14" s="73"/>
      <c r="FM14" s="73"/>
      <c r="FN14" s="73"/>
      <c r="FO14" s="73"/>
      <c r="FP14" s="73"/>
      <c r="FQ14" s="73"/>
      <c r="FR14" s="73"/>
      <c r="FS14" s="73"/>
      <c r="FT14" s="73"/>
      <c r="FU14" s="73"/>
      <c r="FV14" s="73"/>
      <c r="FW14" s="73"/>
      <c r="FX14" s="73"/>
      <c r="FY14" s="73"/>
      <c r="FZ14" s="73"/>
      <c r="GA14" s="73"/>
      <c r="GB14" s="73"/>
      <c r="GC14" s="73"/>
      <c r="GD14" s="73"/>
      <c r="GE14" s="73"/>
      <c r="GF14" s="73"/>
      <c r="GG14" s="73"/>
      <c r="GH14" s="73"/>
      <c r="GI14" s="73"/>
      <c r="GJ14" s="73"/>
      <c r="GK14" s="73"/>
      <c r="GL14" s="73"/>
      <c r="GM14" s="73"/>
      <c r="GN14" s="73"/>
      <c r="GO14" s="73"/>
      <c r="GP14" s="73"/>
      <c r="GQ14" s="73"/>
      <c r="GR14" s="73"/>
      <c r="GS14" s="73"/>
      <c r="GT14" s="73"/>
      <c r="GU14" s="73"/>
      <c r="GV14" s="73"/>
      <c r="GW14" s="73"/>
      <c r="GX14" s="73"/>
      <c r="GY14" s="73"/>
      <c r="GZ14" s="73"/>
      <c r="HA14" s="73"/>
      <c r="HB14" s="73"/>
      <c r="HC14" s="73"/>
      <c r="HD14" s="73"/>
      <c r="HE14" s="73"/>
      <c r="HF14" s="73"/>
      <c r="HG14" s="73"/>
      <c r="HH14" s="73"/>
      <c r="HI14" s="73"/>
      <c r="HJ14" s="73"/>
    </row>
    <row r="15" spans="1:218" s="3" customFormat="1" ht="30" customHeight="1" thickBot="1" x14ac:dyDescent="0.3">
      <c r="A15" s="37"/>
      <c r="B15" s="49" t="s">
        <v>47</v>
      </c>
      <c r="C15" s="43" t="s">
        <v>40</v>
      </c>
      <c r="D15" s="18"/>
      <c r="E15" s="61">
        <v>45264</v>
      </c>
      <c r="F15" s="61">
        <f>E15+7</f>
        <v>45271</v>
      </c>
      <c r="G15" s="75"/>
      <c r="H15" s="75">
        <f t="shared" si="42"/>
        <v>8</v>
      </c>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c r="CC15" s="73"/>
      <c r="CD15" s="73"/>
      <c r="CE15" s="73"/>
      <c r="CF15" s="73"/>
      <c r="CG15" s="73"/>
      <c r="CH15" s="73"/>
      <c r="CI15" s="73"/>
      <c r="CJ15" s="73"/>
      <c r="CK15" s="73"/>
      <c r="CL15" s="73"/>
      <c r="CM15" s="73"/>
      <c r="CN15" s="73"/>
      <c r="CO15" s="73"/>
      <c r="CP15" s="73"/>
      <c r="CQ15" s="73"/>
      <c r="CR15" s="73"/>
      <c r="CS15" s="73"/>
      <c r="CT15" s="73"/>
      <c r="CU15" s="73"/>
      <c r="CV15" s="73"/>
      <c r="CW15" s="73"/>
      <c r="CX15" s="73"/>
      <c r="CY15" s="73"/>
      <c r="CZ15" s="73"/>
      <c r="DA15" s="73"/>
      <c r="DB15" s="73"/>
      <c r="DC15" s="73"/>
      <c r="DD15" s="73"/>
      <c r="DE15" s="73"/>
      <c r="DF15" s="73"/>
      <c r="DG15" s="73"/>
      <c r="DH15" s="73"/>
      <c r="DI15" s="73"/>
      <c r="DJ15" s="73"/>
      <c r="DK15" s="73"/>
      <c r="DL15" s="73"/>
      <c r="DM15" s="73"/>
      <c r="DN15" s="73"/>
      <c r="DO15" s="73"/>
      <c r="DP15" s="73"/>
      <c r="DQ15" s="73"/>
      <c r="DR15" s="73"/>
      <c r="DS15" s="73"/>
      <c r="DT15" s="73"/>
      <c r="DU15" s="73"/>
      <c r="DV15" s="73"/>
      <c r="DW15" s="73"/>
      <c r="DX15" s="73"/>
      <c r="DY15" s="73"/>
      <c r="DZ15" s="73"/>
      <c r="EA15" s="73"/>
      <c r="EB15" s="73"/>
      <c r="EC15" s="73"/>
      <c r="ED15" s="73"/>
      <c r="EE15" s="73"/>
      <c r="EF15" s="73"/>
      <c r="EG15" s="73"/>
      <c r="EH15" s="73"/>
      <c r="EI15" s="73"/>
      <c r="EJ15" s="73"/>
      <c r="EK15" s="73"/>
      <c r="EL15" s="73"/>
      <c r="EM15" s="73"/>
      <c r="EN15" s="73"/>
      <c r="EO15" s="73"/>
      <c r="EP15" s="73"/>
      <c r="EQ15" s="73"/>
      <c r="ER15" s="73"/>
      <c r="ES15" s="73"/>
      <c r="ET15" s="73"/>
      <c r="EU15" s="73"/>
      <c r="EV15" s="73"/>
      <c r="EW15" s="73"/>
      <c r="EX15" s="73"/>
      <c r="EY15" s="73"/>
      <c r="EZ15" s="73"/>
      <c r="FA15" s="73"/>
      <c r="FB15" s="73"/>
      <c r="FC15" s="73"/>
      <c r="FD15" s="73"/>
      <c r="FE15" s="73"/>
      <c r="FF15" s="73"/>
      <c r="FG15" s="73"/>
      <c r="FH15" s="73"/>
      <c r="FI15" s="73"/>
      <c r="FJ15" s="73"/>
      <c r="FK15" s="73"/>
      <c r="FL15" s="73"/>
      <c r="FM15" s="73"/>
      <c r="FN15" s="73"/>
      <c r="FO15" s="73"/>
      <c r="FP15" s="73"/>
      <c r="FQ15" s="73"/>
      <c r="FR15" s="73"/>
      <c r="FS15" s="73"/>
      <c r="FT15" s="73"/>
      <c r="FU15" s="73"/>
      <c r="FV15" s="73"/>
      <c r="FW15" s="73"/>
      <c r="FX15" s="73"/>
      <c r="FY15" s="73"/>
      <c r="FZ15" s="73"/>
      <c r="GA15" s="73"/>
      <c r="GB15" s="73"/>
      <c r="GC15" s="73"/>
      <c r="GD15" s="73"/>
      <c r="GE15" s="73"/>
      <c r="GF15" s="73"/>
      <c r="GG15" s="73"/>
      <c r="GH15" s="73"/>
      <c r="GI15" s="73"/>
      <c r="GJ15" s="73"/>
      <c r="GK15" s="73"/>
      <c r="GL15" s="73"/>
      <c r="GM15" s="73"/>
      <c r="GN15" s="73"/>
      <c r="GO15" s="73"/>
      <c r="GP15" s="73"/>
      <c r="GQ15" s="73"/>
      <c r="GR15" s="73"/>
      <c r="GS15" s="73"/>
      <c r="GT15" s="73"/>
      <c r="GU15" s="73"/>
      <c r="GV15" s="73"/>
      <c r="GW15" s="73"/>
      <c r="GX15" s="73"/>
      <c r="GY15" s="73"/>
      <c r="GZ15" s="73"/>
      <c r="HA15" s="73"/>
      <c r="HB15" s="73"/>
      <c r="HC15" s="73"/>
      <c r="HD15" s="73"/>
      <c r="HE15" s="73"/>
      <c r="HF15" s="73"/>
      <c r="HG15" s="73"/>
      <c r="HH15" s="73"/>
      <c r="HI15" s="73"/>
      <c r="HJ15" s="73"/>
    </row>
    <row r="16" spans="1:218" s="3" customFormat="1" ht="30" customHeight="1" thickBot="1" x14ac:dyDescent="0.3">
      <c r="A16" s="36"/>
      <c r="B16" s="49" t="s">
        <v>48</v>
      </c>
      <c r="C16" s="43" t="s">
        <v>40</v>
      </c>
      <c r="D16" s="18"/>
      <c r="E16" s="61">
        <f>F15</f>
        <v>45271</v>
      </c>
      <c r="F16" s="61">
        <f>E16+14</f>
        <v>45285</v>
      </c>
      <c r="G16" s="75"/>
      <c r="H16" s="75">
        <f t="shared" si="42"/>
        <v>15</v>
      </c>
      <c r="I16" s="73"/>
      <c r="J16" s="73"/>
      <c r="K16" s="73"/>
      <c r="L16" s="73"/>
      <c r="M16" s="73"/>
      <c r="N16" s="73"/>
      <c r="O16" s="73"/>
      <c r="P16" s="73"/>
      <c r="Q16" s="73"/>
      <c r="R16" s="73"/>
      <c r="S16" s="73"/>
      <c r="T16" s="73"/>
      <c r="U16" s="76"/>
      <c r="V16" s="76"/>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c r="CC16" s="73"/>
      <c r="CD16" s="73"/>
      <c r="CE16" s="73"/>
      <c r="CF16" s="73"/>
      <c r="CG16" s="73"/>
      <c r="CH16" s="73"/>
      <c r="CI16" s="73"/>
      <c r="CJ16" s="73"/>
      <c r="CK16" s="73"/>
      <c r="CL16" s="73"/>
      <c r="CM16" s="73"/>
      <c r="CN16" s="73"/>
      <c r="CO16" s="73"/>
      <c r="CP16" s="73"/>
      <c r="CQ16" s="73"/>
      <c r="CR16" s="73"/>
      <c r="CS16" s="73"/>
      <c r="CT16" s="73"/>
      <c r="CU16" s="73"/>
      <c r="CV16" s="73"/>
      <c r="CW16" s="73"/>
      <c r="CX16" s="73"/>
      <c r="CY16" s="73"/>
      <c r="CZ16" s="73"/>
      <c r="DA16" s="73"/>
      <c r="DB16" s="73"/>
      <c r="DC16" s="73"/>
      <c r="DD16" s="73"/>
      <c r="DE16" s="73"/>
      <c r="DF16" s="73"/>
      <c r="DG16" s="73"/>
      <c r="DH16" s="73"/>
      <c r="DI16" s="73"/>
      <c r="DJ16" s="73"/>
      <c r="DK16" s="73"/>
      <c r="DL16" s="73"/>
      <c r="DM16" s="73"/>
      <c r="DN16" s="73"/>
      <c r="DO16" s="73"/>
      <c r="DP16" s="73"/>
      <c r="DQ16" s="73"/>
      <c r="DR16" s="73"/>
      <c r="DS16" s="73"/>
      <c r="DT16" s="73"/>
      <c r="DU16" s="73"/>
      <c r="DV16" s="73"/>
      <c r="DW16" s="73"/>
      <c r="DX16" s="73"/>
      <c r="DY16" s="73"/>
      <c r="DZ16" s="73"/>
      <c r="EA16" s="73"/>
      <c r="EB16" s="73"/>
      <c r="EC16" s="73"/>
      <c r="ED16" s="73"/>
      <c r="EE16" s="73"/>
      <c r="EF16" s="73"/>
      <c r="EG16" s="73"/>
      <c r="EH16" s="73"/>
      <c r="EI16" s="73"/>
      <c r="EJ16" s="73"/>
      <c r="EK16" s="73"/>
      <c r="EL16" s="73"/>
      <c r="EM16" s="73"/>
      <c r="EN16" s="73"/>
      <c r="EO16" s="73"/>
      <c r="EP16" s="73"/>
      <c r="EQ16" s="73"/>
      <c r="ER16" s="73"/>
      <c r="ES16" s="73"/>
      <c r="ET16" s="73"/>
      <c r="EU16" s="73"/>
      <c r="EV16" s="73"/>
      <c r="EW16" s="73"/>
      <c r="EX16" s="73"/>
      <c r="EY16" s="73"/>
      <c r="EZ16" s="73"/>
      <c r="FA16" s="73"/>
      <c r="FB16" s="73"/>
      <c r="FC16" s="73"/>
      <c r="FD16" s="73"/>
      <c r="FE16" s="73"/>
      <c r="FF16" s="73"/>
      <c r="FG16" s="73"/>
      <c r="FH16" s="73"/>
      <c r="FI16" s="73"/>
      <c r="FJ16" s="73"/>
      <c r="FK16" s="73"/>
      <c r="FL16" s="73"/>
      <c r="FM16" s="73"/>
      <c r="FN16" s="73"/>
      <c r="FO16" s="73"/>
      <c r="FP16" s="73"/>
      <c r="FQ16" s="73"/>
      <c r="FR16" s="73"/>
      <c r="FS16" s="73"/>
      <c r="FT16" s="73"/>
      <c r="FU16" s="73"/>
      <c r="FV16" s="73"/>
      <c r="FW16" s="73"/>
      <c r="FX16" s="73"/>
      <c r="FY16" s="73"/>
      <c r="FZ16" s="73"/>
      <c r="GA16" s="73"/>
      <c r="GB16" s="73"/>
      <c r="GC16" s="73"/>
      <c r="GD16" s="73"/>
      <c r="GE16" s="73"/>
      <c r="GF16" s="73"/>
      <c r="GG16" s="73"/>
      <c r="GH16" s="73"/>
      <c r="GI16" s="73"/>
      <c r="GJ16" s="73"/>
      <c r="GK16" s="73"/>
      <c r="GL16" s="73"/>
      <c r="GM16" s="73"/>
      <c r="GN16" s="73"/>
      <c r="GO16" s="73"/>
      <c r="GP16" s="73"/>
      <c r="GQ16" s="73"/>
      <c r="GR16" s="73"/>
      <c r="GS16" s="73"/>
      <c r="GT16" s="73"/>
      <c r="GU16" s="73"/>
      <c r="GV16" s="73"/>
      <c r="GW16" s="73"/>
      <c r="GX16" s="73"/>
      <c r="GY16" s="73"/>
      <c r="GZ16" s="73"/>
      <c r="HA16" s="73"/>
      <c r="HB16" s="73"/>
      <c r="HC16" s="73"/>
      <c r="HD16" s="73"/>
      <c r="HE16" s="73"/>
      <c r="HF16" s="73"/>
      <c r="HG16" s="73"/>
      <c r="HH16" s="73"/>
      <c r="HI16" s="73"/>
      <c r="HJ16" s="73"/>
    </row>
    <row r="17" spans="1:218" s="3" customFormat="1" ht="30" customHeight="1" thickBot="1" x14ac:dyDescent="0.3">
      <c r="A17" s="36"/>
      <c r="B17" s="49" t="s">
        <v>70</v>
      </c>
      <c r="C17" s="43" t="s">
        <v>55</v>
      </c>
      <c r="D17" s="18"/>
      <c r="E17" s="61">
        <f>F16</f>
        <v>45285</v>
      </c>
      <c r="F17" s="61">
        <f>E17+21</f>
        <v>45306</v>
      </c>
      <c r="G17" s="75"/>
      <c r="H17" s="75">
        <f t="shared" si="42"/>
        <v>22</v>
      </c>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c r="CC17" s="73"/>
      <c r="CD17" s="73"/>
      <c r="CE17" s="73"/>
      <c r="CF17" s="73"/>
      <c r="CG17" s="73"/>
      <c r="CH17" s="73"/>
      <c r="CI17" s="73"/>
      <c r="CJ17" s="73"/>
      <c r="CK17" s="73"/>
      <c r="CL17" s="73"/>
      <c r="CM17" s="73"/>
      <c r="CN17" s="73"/>
      <c r="CO17" s="73"/>
      <c r="CP17" s="73"/>
      <c r="CQ17" s="73"/>
      <c r="CR17" s="73"/>
      <c r="CS17" s="73"/>
      <c r="CT17" s="73"/>
      <c r="CU17" s="73"/>
      <c r="CV17" s="73"/>
      <c r="CW17" s="73"/>
      <c r="CX17" s="73"/>
      <c r="CY17" s="73"/>
      <c r="CZ17" s="73"/>
      <c r="DA17" s="73"/>
      <c r="DB17" s="73"/>
      <c r="DC17" s="73"/>
      <c r="DD17" s="73"/>
      <c r="DE17" s="73"/>
      <c r="DF17" s="73"/>
      <c r="DG17" s="73"/>
      <c r="DH17" s="73"/>
      <c r="DI17" s="73"/>
      <c r="DJ17" s="73"/>
      <c r="DK17" s="73"/>
      <c r="DL17" s="73"/>
      <c r="DM17" s="73"/>
      <c r="DN17" s="73"/>
      <c r="DO17" s="73"/>
      <c r="DP17" s="73"/>
      <c r="DQ17" s="73"/>
      <c r="DR17" s="73"/>
      <c r="DS17" s="73"/>
      <c r="DT17" s="73"/>
      <c r="DU17" s="73"/>
      <c r="DV17" s="73"/>
      <c r="DW17" s="73"/>
      <c r="DX17" s="73"/>
      <c r="DY17" s="73"/>
      <c r="DZ17" s="73"/>
      <c r="EA17" s="73"/>
      <c r="EB17" s="73"/>
      <c r="EC17" s="73"/>
      <c r="ED17" s="73"/>
      <c r="EE17" s="73"/>
      <c r="EF17" s="73"/>
      <c r="EG17" s="73"/>
      <c r="EH17" s="73"/>
      <c r="EI17" s="73"/>
      <c r="EJ17" s="73"/>
      <c r="EK17" s="73"/>
      <c r="EL17" s="73"/>
      <c r="EM17" s="73"/>
      <c r="EN17" s="73"/>
      <c r="EO17" s="73"/>
      <c r="EP17" s="73"/>
      <c r="EQ17" s="73"/>
      <c r="ER17" s="73"/>
      <c r="ES17" s="73"/>
      <c r="ET17" s="73"/>
      <c r="EU17" s="73"/>
      <c r="EV17" s="73"/>
      <c r="EW17" s="73"/>
      <c r="EX17" s="73"/>
      <c r="EY17" s="73"/>
      <c r="EZ17" s="73"/>
      <c r="FA17" s="73"/>
      <c r="FB17" s="73"/>
      <c r="FC17" s="73"/>
      <c r="FD17" s="73"/>
      <c r="FE17" s="73"/>
      <c r="FF17" s="73"/>
      <c r="FG17" s="73"/>
      <c r="FH17" s="73"/>
      <c r="FI17" s="73"/>
      <c r="FJ17" s="73"/>
      <c r="FK17" s="73"/>
      <c r="FL17" s="73"/>
      <c r="FM17" s="73"/>
      <c r="FN17" s="73"/>
      <c r="FO17" s="73"/>
      <c r="FP17" s="73"/>
      <c r="FQ17" s="73"/>
      <c r="FR17" s="73"/>
      <c r="FS17" s="73"/>
      <c r="FT17" s="73"/>
      <c r="FU17" s="73"/>
      <c r="FV17" s="73"/>
      <c r="FW17" s="73"/>
      <c r="FX17" s="73"/>
      <c r="FY17" s="73"/>
      <c r="FZ17" s="73"/>
      <c r="GA17" s="73"/>
      <c r="GB17" s="73"/>
      <c r="GC17" s="73"/>
      <c r="GD17" s="73"/>
      <c r="GE17" s="73"/>
      <c r="GF17" s="73"/>
      <c r="GG17" s="73"/>
      <c r="GH17" s="73"/>
      <c r="GI17" s="73"/>
      <c r="GJ17" s="73"/>
      <c r="GK17" s="73"/>
      <c r="GL17" s="73"/>
      <c r="GM17" s="73"/>
      <c r="GN17" s="73"/>
      <c r="GO17" s="73"/>
      <c r="GP17" s="73"/>
      <c r="GQ17" s="73"/>
      <c r="GR17" s="73"/>
      <c r="GS17" s="73"/>
      <c r="GT17" s="73"/>
      <c r="GU17" s="73"/>
      <c r="GV17" s="73"/>
      <c r="GW17" s="73"/>
      <c r="GX17" s="73"/>
      <c r="GY17" s="73"/>
      <c r="GZ17" s="73"/>
      <c r="HA17" s="73"/>
      <c r="HB17" s="73"/>
      <c r="HC17" s="73"/>
      <c r="HD17" s="73"/>
      <c r="HE17" s="73"/>
      <c r="HF17" s="73"/>
      <c r="HG17" s="73"/>
      <c r="HH17" s="73"/>
      <c r="HI17" s="73"/>
      <c r="HJ17" s="73"/>
    </row>
    <row r="18" spans="1:218" s="3" customFormat="1" ht="30" customHeight="1" thickBot="1" x14ac:dyDescent="0.3">
      <c r="A18" s="36"/>
      <c r="B18" s="49" t="s">
        <v>50</v>
      </c>
      <c r="C18" s="43" t="s">
        <v>53</v>
      </c>
      <c r="D18" s="18"/>
      <c r="E18" s="61">
        <f>E17</f>
        <v>45285</v>
      </c>
      <c r="F18" s="61">
        <f>E18+21</f>
        <v>45306</v>
      </c>
      <c r="G18" s="75"/>
      <c r="H18" s="75">
        <f t="shared" si="42"/>
        <v>22</v>
      </c>
      <c r="I18" s="73"/>
      <c r="J18" s="73"/>
      <c r="K18" s="73"/>
      <c r="L18" s="73"/>
      <c r="M18" s="73"/>
      <c r="N18" s="73"/>
      <c r="O18" s="73"/>
      <c r="P18" s="73"/>
      <c r="Q18" s="73"/>
      <c r="R18" s="73"/>
      <c r="S18" s="73"/>
      <c r="T18" s="73"/>
      <c r="U18" s="73"/>
      <c r="V18" s="73"/>
      <c r="W18" s="73"/>
      <c r="X18" s="73"/>
      <c r="Y18" s="76"/>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c r="CC18" s="73"/>
      <c r="CD18" s="73"/>
      <c r="CE18" s="73"/>
      <c r="CF18" s="73"/>
      <c r="CG18" s="73"/>
      <c r="CH18" s="73"/>
      <c r="CI18" s="73"/>
      <c r="CJ18" s="73"/>
      <c r="CK18" s="73"/>
      <c r="CL18" s="73"/>
      <c r="CM18" s="73"/>
      <c r="CN18" s="73"/>
      <c r="CO18" s="73"/>
      <c r="CP18" s="73"/>
      <c r="CQ18" s="73"/>
      <c r="CR18" s="73"/>
      <c r="CS18" s="73"/>
      <c r="CT18" s="73"/>
      <c r="CU18" s="73"/>
      <c r="CV18" s="73"/>
      <c r="CW18" s="73"/>
      <c r="CX18" s="73"/>
      <c r="CY18" s="73"/>
      <c r="CZ18" s="73"/>
      <c r="DA18" s="73"/>
      <c r="DB18" s="73"/>
      <c r="DC18" s="73"/>
      <c r="DD18" s="73"/>
      <c r="DE18" s="73"/>
      <c r="DF18" s="73"/>
      <c r="DG18" s="73"/>
      <c r="DH18" s="73"/>
      <c r="DI18" s="73"/>
      <c r="DJ18" s="73"/>
      <c r="DK18" s="73"/>
      <c r="DL18" s="73"/>
      <c r="DM18" s="73"/>
      <c r="DN18" s="73"/>
      <c r="DO18" s="73"/>
      <c r="DP18" s="73"/>
      <c r="DQ18" s="73"/>
      <c r="DR18" s="73"/>
      <c r="DS18" s="73"/>
      <c r="DT18" s="73"/>
      <c r="DU18" s="73"/>
      <c r="DV18" s="73"/>
      <c r="DW18" s="73"/>
      <c r="DX18" s="73"/>
      <c r="DY18" s="73"/>
      <c r="DZ18" s="73"/>
      <c r="EA18" s="73"/>
      <c r="EB18" s="73"/>
      <c r="EC18" s="73"/>
      <c r="ED18" s="73"/>
      <c r="EE18" s="73"/>
      <c r="EF18" s="73"/>
      <c r="EG18" s="73"/>
      <c r="EH18" s="73"/>
      <c r="EI18" s="73"/>
      <c r="EJ18" s="73"/>
      <c r="EK18" s="73"/>
      <c r="EL18" s="73"/>
      <c r="EM18" s="73"/>
      <c r="EN18" s="73"/>
      <c r="EO18" s="73"/>
      <c r="EP18" s="73"/>
      <c r="EQ18" s="73"/>
      <c r="ER18" s="73"/>
      <c r="ES18" s="73"/>
      <c r="ET18" s="73"/>
      <c r="EU18" s="73"/>
      <c r="EV18" s="73"/>
      <c r="EW18" s="73"/>
      <c r="EX18" s="73"/>
      <c r="EY18" s="73"/>
      <c r="EZ18" s="73"/>
      <c r="FA18" s="73"/>
      <c r="FB18" s="73"/>
      <c r="FC18" s="73"/>
      <c r="FD18" s="73"/>
      <c r="FE18" s="73"/>
      <c r="FF18" s="73"/>
      <c r="FG18" s="73"/>
      <c r="FH18" s="73"/>
      <c r="FI18" s="73"/>
      <c r="FJ18" s="73"/>
      <c r="FK18" s="73"/>
      <c r="FL18" s="73"/>
      <c r="FM18" s="73"/>
      <c r="FN18" s="73"/>
      <c r="FO18" s="73"/>
      <c r="FP18" s="73"/>
      <c r="FQ18" s="73"/>
      <c r="FR18" s="73"/>
      <c r="FS18" s="73"/>
      <c r="FT18" s="73"/>
      <c r="FU18" s="73"/>
      <c r="FV18" s="73"/>
      <c r="FW18" s="73"/>
      <c r="FX18" s="73"/>
      <c r="FY18" s="73"/>
      <c r="FZ18" s="73"/>
      <c r="GA18" s="73"/>
      <c r="GB18" s="73"/>
      <c r="GC18" s="73"/>
      <c r="GD18" s="73"/>
      <c r="GE18" s="73"/>
      <c r="GF18" s="73"/>
      <c r="GG18" s="73"/>
      <c r="GH18" s="73"/>
      <c r="GI18" s="73"/>
      <c r="GJ18" s="73"/>
      <c r="GK18" s="73"/>
      <c r="GL18" s="73"/>
      <c r="GM18" s="73"/>
      <c r="GN18" s="73"/>
      <c r="GO18" s="73"/>
      <c r="GP18" s="73"/>
      <c r="GQ18" s="73"/>
      <c r="GR18" s="73"/>
      <c r="GS18" s="73"/>
      <c r="GT18" s="73"/>
      <c r="GU18" s="73"/>
      <c r="GV18" s="73"/>
      <c r="GW18" s="73"/>
      <c r="GX18" s="73"/>
      <c r="GY18" s="73"/>
      <c r="GZ18" s="73"/>
      <c r="HA18" s="73"/>
      <c r="HB18" s="73"/>
      <c r="HC18" s="73"/>
      <c r="HD18" s="73"/>
      <c r="HE18" s="73"/>
      <c r="HF18" s="73"/>
      <c r="HG18" s="73"/>
      <c r="HH18" s="73"/>
      <c r="HI18" s="73"/>
      <c r="HJ18" s="73"/>
    </row>
    <row r="19" spans="1:218" s="3" customFormat="1" ht="30" customHeight="1" thickBot="1" x14ac:dyDescent="0.3">
      <c r="A19" s="36"/>
      <c r="B19" s="49" t="s">
        <v>51</v>
      </c>
      <c r="C19" s="43" t="s">
        <v>54</v>
      </c>
      <c r="D19" s="18"/>
      <c r="E19" s="61">
        <f>E18</f>
        <v>45285</v>
      </c>
      <c r="F19" s="61">
        <f>E19+21</f>
        <v>45306</v>
      </c>
      <c r="G19" s="75"/>
      <c r="H19" s="75">
        <f t="shared" si="42"/>
        <v>22</v>
      </c>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c r="CC19" s="73"/>
      <c r="CD19" s="73"/>
      <c r="CE19" s="73"/>
      <c r="CF19" s="73"/>
      <c r="CG19" s="73"/>
      <c r="CH19" s="73"/>
      <c r="CI19" s="73"/>
      <c r="CJ19" s="73"/>
      <c r="CK19" s="73"/>
      <c r="CL19" s="73"/>
      <c r="CM19" s="73"/>
      <c r="CN19" s="73"/>
      <c r="CO19" s="73"/>
      <c r="CP19" s="73"/>
      <c r="CQ19" s="73"/>
      <c r="CR19" s="73"/>
      <c r="CS19" s="73"/>
      <c r="CT19" s="73"/>
      <c r="CU19" s="73"/>
      <c r="CV19" s="73"/>
      <c r="CW19" s="73"/>
      <c r="CX19" s="73"/>
      <c r="CY19" s="73"/>
      <c r="CZ19" s="73"/>
      <c r="DA19" s="73"/>
      <c r="DB19" s="73"/>
      <c r="DC19" s="73"/>
      <c r="DD19" s="73"/>
      <c r="DE19" s="73"/>
      <c r="DF19" s="73"/>
      <c r="DG19" s="73"/>
      <c r="DH19" s="73"/>
      <c r="DI19" s="73"/>
      <c r="DJ19" s="73"/>
      <c r="DK19" s="73"/>
      <c r="DL19" s="73"/>
      <c r="DM19" s="73"/>
      <c r="DN19" s="73"/>
      <c r="DO19" s="73"/>
      <c r="DP19" s="73"/>
      <c r="DQ19" s="73"/>
      <c r="DR19" s="73"/>
      <c r="DS19" s="73"/>
      <c r="DT19" s="73"/>
      <c r="DU19" s="73"/>
      <c r="DV19" s="73"/>
      <c r="DW19" s="73"/>
      <c r="DX19" s="73"/>
      <c r="DY19" s="73"/>
      <c r="DZ19" s="73"/>
      <c r="EA19" s="73"/>
      <c r="EB19" s="73"/>
      <c r="EC19" s="73"/>
      <c r="ED19" s="73"/>
      <c r="EE19" s="73"/>
      <c r="EF19" s="73"/>
      <c r="EG19" s="73"/>
      <c r="EH19" s="73"/>
      <c r="EI19" s="73"/>
      <c r="EJ19" s="73"/>
      <c r="EK19" s="73"/>
      <c r="EL19" s="73"/>
      <c r="EM19" s="73"/>
      <c r="EN19" s="73"/>
      <c r="EO19" s="73"/>
      <c r="EP19" s="73"/>
      <c r="EQ19" s="73"/>
      <c r="ER19" s="73"/>
      <c r="ES19" s="73"/>
      <c r="ET19" s="73"/>
      <c r="EU19" s="73"/>
      <c r="EV19" s="73"/>
      <c r="EW19" s="73"/>
      <c r="EX19" s="73"/>
      <c r="EY19" s="73"/>
      <c r="EZ19" s="73"/>
      <c r="FA19" s="73"/>
      <c r="FB19" s="73"/>
      <c r="FC19" s="73"/>
      <c r="FD19" s="73"/>
      <c r="FE19" s="73"/>
      <c r="FF19" s="73"/>
      <c r="FG19" s="73"/>
      <c r="FH19" s="73"/>
      <c r="FI19" s="73"/>
      <c r="FJ19" s="73"/>
      <c r="FK19" s="73"/>
      <c r="FL19" s="73"/>
      <c r="FM19" s="73"/>
      <c r="FN19" s="73"/>
      <c r="FO19" s="73"/>
      <c r="FP19" s="73"/>
      <c r="FQ19" s="73"/>
      <c r="FR19" s="73"/>
      <c r="FS19" s="73"/>
      <c r="FT19" s="73"/>
      <c r="FU19" s="73"/>
      <c r="FV19" s="73"/>
      <c r="FW19" s="73"/>
      <c r="FX19" s="73"/>
      <c r="FY19" s="73"/>
      <c r="FZ19" s="73"/>
      <c r="GA19" s="73"/>
      <c r="GB19" s="73"/>
      <c r="GC19" s="73"/>
      <c r="GD19" s="73"/>
      <c r="GE19" s="73"/>
      <c r="GF19" s="73"/>
      <c r="GG19" s="73"/>
      <c r="GH19" s="73"/>
      <c r="GI19" s="73"/>
      <c r="GJ19" s="73"/>
      <c r="GK19" s="73"/>
      <c r="GL19" s="73"/>
      <c r="GM19" s="73"/>
      <c r="GN19" s="73"/>
      <c r="GO19" s="73"/>
      <c r="GP19" s="73"/>
      <c r="GQ19" s="73"/>
      <c r="GR19" s="73"/>
      <c r="GS19" s="73"/>
      <c r="GT19" s="73"/>
      <c r="GU19" s="73"/>
      <c r="GV19" s="73"/>
      <c r="GW19" s="73"/>
      <c r="GX19" s="73"/>
      <c r="GY19" s="73"/>
      <c r="GZ19" s="73"/>
      <c r="HA19" s="73"/>
      <c r="HB19" s="73"/>
      <c r="HC19" s="73"/>
      <c r="HD19" s="73"/>
      <c r="HE19" s="73"/>
      <c r="HF19" s="73"/>
      <c r="HG19" s="73"/>
      <c r="HH19" s="73"/>
      <c r="HI19" s="73"/>
      <c r="HJ19" s="73"/>
    </row>
    <row r="20" spans="1:218" s="3" customFormat="1" ht="30" customHeight="1" thickBot="1" x14ac:dyDescent="0.3">
      <c r="A20" s="36" t="s">
        <v>11</v>
      </c>
      <c r="B20" s="19" t="s">
        <v>56</v>
      </c>
      <c r="C20" s="44"/>
      <c r="D20" s="20"/>
      <c r="E20" s="62"/>
      <c r="F20" s="63"/>
      <c r="G20" s="75"/>
      <c r="H20" s="75" t="str">
        <f t="shared" si="42"/>
        <v/>
      </c>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c r="CC20" s="73"/>
      <c r="CD20" s="73"/>
      <c r="CE20" s="73"/>
      <c r="CF20" s="73"/>
      <c r="CG20" s="73"/>
      <c r="CH20" s="73"/>
      <c r="CI20" s="73"/>
      <c r="CJ20" s="73"/>
      <c r="CK20" s="73"/>
      <c r="CL20" s="73"/>
      <c r="CM20" s="73"/>
      <c r="CN20" s="73"/>
      <c r="CO20" s="73"/>
      <c r="CP20" s="73"/>
      <c r="CQ20" s="73"/>
      <c r="CR20" s="73"/>
      <c r="CS20" s="73"/>
      <c r="CT20" s="73"/>
      <c r="CU20" s="73"/>
      <c r="CV20" s="73"/>
      <c r="CW20" s="73"/>
      <c r="CX20" s="73"/>
      <c r="CY20" s="73"/>
      <c r="CZ20" s="73"/>
      <c r="DA20" s="73"/>
      <c r="DB20" s="73"/>
      <c r="DC20" s="73"/>
      <c r="DD20" s="73"/>
      <c r="DE20" s="73"/>
      <c r="DF20" s="73"/>
      <c r="DG20" s="73"/>
      <c r="DH20" s="73"/>
      <c r="DI20" s="73"/>
      <c r="DJ20" s="73"/>
      <c r="DK20" s="73"/>
      <c r="DL20" s="73"/>
      <c r="DM20" s="73"/>
      <c r="DN20" s="73"/>
      <c r="DO20" s="73"/>
      <c r="DP20" s="73"/>
      <c r="DQ20" s="73"/>
      <c r="DR20" s="73"/>
      <c r="DS20" s="73"/>
      <c r="DT20" s="73"/>
      <c r="DU20" s="73"/>
      <c r="DV20" s="73"/>
      <c r="DW20" s="73"/>
      <c r="DX20" s="73"/>
      <c r="DY20" s="73"/>
      <c r="DZ20" s="73"/>
      <c r="EA20" s="73"/>
      <c r="EB20" s="73"/>
      <c r="EC20" s="73"/>
      <c r="ED20" s="73"/>
      <c r="EE20" s="73"/>
      <c r="EF20" s="73"/>
      <c r="EG20" s="73"/>
      <c r="EH20" s="73"/>
      <c r="EI20" s="73"/>
      <c r="EJ20" s="73"/>
      <c r="EK20" s="73"/>
      <c r="EL20" s="73"/>
      <c r="EM20" s="73"/>
      <c r="EN20" s="73"/>
      <c r="EO20" s="73"/>
      <c r="EP20" s="73"/>
      <c r="EQ20" s="73"/>
      <c r="ER20" s="73"/>
      <c r="ES20" s="73"/>
      <c r="ET20" s="73"/>
      <c r="EU20" s="73"/>
      <c r="EV20" s="73"/>
      <c r="EW20" s="73"/>
      <c r="EX20" s="73"/>
      <c r="EY20" s="73"/>
      <c r="EZ20" s="73"/>
      <c r="FA20" s="73"/>
      <c r="FB20" s="73"/>
      <c r="FC20" s="73"/>
      <c r="FD20" s="73"/>
      <c r="FE20" s="73"/>
      <c r="FF20" s="73"/>
      <c r="FG20" s="73"/>
      <c r="FH20" s="73"/>
      <c r="FI20" s="73"/>
      <c r="FJ20" s="73"/>
      <c r="FK20" s="73"/>
      <c r="FL20" s="73"/>
      <c r="FM20" s="73"/>
      <c r="FN20" s="73"/>
      <c r="FO20" s="73"/>
      <c r="FP20" s="73"/>
      <c r="FQ20" s="73"/>
      <c r="FR20" s="73"/>
      <c r="FS20" s="73"/>
      <c r="FT20" s="73"/>
      <c r="FU20" s="73"/>
      <c r="FV20" s="73"/>
      <c r="FW20" s="73"/>
      <c r="FX20" s="73"/>
      <c r="FY20" s="73"/>
      <c r="FZ20" s="73"/>
      <c r="GA20" s="73"/>
      <c r="GB20" s="73"/>
      <c r="GC20" s="73"/>
      <c r="GD20" s="73"/>
      <c r="GE20" s="73"/>
      <c r="GF20" s="73"/>
      <c r="GG20" s="73"/>
      <c r="GH20" s="73"/>
      <c r="GI20" s="73"/>
      <c r="GJ20" s="73"/>
      <c r="GK20" s="73"/>
      <c r="GL20" s="73"/>
      <c r="GM20" s="73"/>
      <c r="GN20" s="73"/>
      <c r="GO20" s="73"/>
      <c r="GP20" s="73"/>
      <c r="GQ20" s="73"/>
      <c r="GR20" s="73"/>
      <c r="GS20" s="73"/>
      <c r="GT20" s="73"/>
      <c r="GU20" s="73"/>
      <c r="GV20" s="73"/>
      <c r="GW20" s="73"/>
      <c r="GX20" s="73"/>
      <c r="GY20" s="73"/>
      <c r="GZ20" s="73"/>
      <c r="HA20" s="73"/>
      <c r="HB20" s="73"/>
      <c r="HC20" s="73"/>
      <c r="HD20" s="73"/>
      <c r="HE20" s="73"/>
      <c r="HF20" s="73"/>
      <c r="HG20" s="73"/>
      <c r="HH20" s="73"/>
      <c r="HI20" s="73"/>
      <c r="HJ20" s="73"/>
    </row>
    <row r="21" spans="1:218" s="3" customFormat="1" ht="30" customHeight="1" thickBot="1" x14ac:dyDescent="0.3">
      <c r="A21" s="36"/>
      <c r="B21" s="50" t="s">
        <v>49</v>
      </c>
      <c r="C21" s="45" t="s">
        <v>55</v>
      </c>
      <c r="D21" s="21"/>
      <c r="E21" s="64">
        <f>F19</f>
        <v>45306</v>
      </c>
      <c r="F21" s="64">
        <f>E21+35</f>
        <v>45341</v>
      </c>
      <c r="G21" s="75"/>
      <c r="H21" s="75">
        <f t="shared" si="42"/>
        <v>36</v>
      </c>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c r="CC21" s="73"/>
      <c r="CD21" s="73"/>
      <c r="CE21" s="73"/>
      <c r="CF21" s="73"/>
      <c r="CG21" s="73"/>
      <c r="CH21" s="73"/>
      <c r="CI21" s="73"/>
      <c r="CJ21" s="73"/>
      <c r="CK21" s="73"/>
      <c r="CL21" s="73"/>
      <c r="CM21" s="73"/>
      <c r="CN21" s="73"/>
      <c r="CO21" s="73"/>
      <c r="CP21" s="73"/>
      <c r="CQ21" s="73"/>
      <c r="CR21" s="73"/>
      <c r="CS21" s="73"/>
      <c r="CT21" s="73"/>
      <c r="CU21" s="73"/>
      <c r="CV21" s="73"/>
      <c r="CW21" s="73"/>
      <c r="CX21" s="73"/>
      <c r="CY21" s="73"/>
      <c r="CZ21" s="73"/>
      <c r="DA21" s="73"/>
      <c r="DB21" s="73"/>
      <c r="DC21" s="73"/>
      <c r="DD21" s="73"/>
      <c r="DE21" s="73"/>
      <c r="DF21" s="73"/>
      <c r="DG21" s="73"/>
      <c r="DH21" s="73"/>
      <c r="DI21" s="73"/>
      <c r="DJ21" s="73"/>
      <c r="DK21" s="73"/>
      <c r="DL21" s="73"/>
      <c r="DM21" s="73"/>
      <c r="DN21" s="73"/>
      <c r="DO21" s="73"/>
      <c r="DP21" s="73"/>
      <c r="DQ21" s="73"/>
      <c r="DR21" s="73"/>
      <c r="DS21" s="73"/>
      <c r="DT21" s="73"/>
      <c r="DU21" s="73"/>
      <c r="DV21" s="73"/>
      <c r="DW21" s="73"/>
      <c r="DX21" s="73"/>
      <c r="DY21" s="73"/>
      <c r="DZ21" s="73"/>
      <c r="EA21" s="73"/>
      <c r="EB21" s="73"/>
      <c r="EC21" s="73"/>
      <c r="ED21" s="73"/>
      <c r="EE21" s="73"/>
      <c r="EF21" s="73"/>
      <c r="EG21" s="73"/>
      <c r="EH21" s="73"/>
      <c r="EI21" s="73"/>
      <c r="EJ21" s="73"/>
      <c r="EK21" s="73"/>
      <c r="EL21" s="73"/>
      <c r="EM21" s="73"/>
      <c r="EN21" s="73"/>
      <c r="EO21" s="73"/>
      <c r="EP21" s="73"/>
      <c r="EQ21" s="73"/>
      <c r="ER21" s="73"/>
      <c r="ES21" s="73"/>
      <c r="ET21" s="73"/>
      <c r="EU21" s="73"/>
      <c r="EV21" s="73"/>
      <c r="EW21" s="73"/>
      <c r="EX21" s="73"/>
      <c r="EY21" s="73"/>
      <c r="EZ21" s="73"/>
      <c r="FA21" s="73"/>
      <c r="FB21" s="73"/>
      <c r="FC21" s="73"/>
      <c r="FD21" s="73"/>
      <c r="FE21" s="73"/>
      <c r="FF21" s="73"/>
      <c r="FG21" s="73"/>
      <c r="FH21" s="73"/>
      <c r="FI21" s="73"/>
      <c r="FJ21" s="73"/>
      <c r="FK21" s="73"/>
      <c r="FL21" s="73"/>
      <c r="FM21" s="73"/>
      <c r="FN21" s="73"/>
      <c r="FO21" s="73"/>
      <c r="FP21" s="73"/>
      <c r="FQ21" s="73"/>
      <c r="FR21" s="73"/>
      <c r="FS21" s="73"/>
      <c r="FT21" s="73"/>
      <c r="FU21" s="73"/>
      <c r="FV21" s="73"/>
      <c r="FW21" s="73"/>
      <c r="FX21" s="73"/>
      <c r="FY21" s="73"/>
      <c r="FZ21" s="73"/>
      <c r="GA21" s="73"/>
      <c r="GB21" s="73"/>
      <c r="GC21" s="73"/>
      <c r="GD21" s="73"/>
      <c r="GE21" s="73"/>
      <c r="GF21" s="73"/>
      <c r="GG21" s="73"/>
      <c r="GH21" s="73"/>
      <c r="GI21" s="73"/>
      <c r="GJ21" s="73"/>
      <c r="GK21" s="73"/>
      <c r="GL21" s="73"/>
      <c r="GM21" s="73"/>
      <c r="GN21" s="73"/>
      <c r="GO21" s="73"/>
      <c r="GP21" s="73"/>
      <c r="GQ21" s="73"/>
      <c r="GR21" s="73"/>
      <c r="GS21" s="73"/>
      <c r="GT21" s="73"/>
      <c r="GU21" s="73"/>
      <c r="GV21" s="73"/>
      <c r="GW21" s="73"/>
      <c r="GX21" s="73"/>
      <c r="GY21" s="73"/>
      <c r="GZ21" s="73"/>
      <c r="HA21" s="73"/>
      <c r="HB21" s="73"/>
      <c r="HC21" s="73"/>
      <c r="HD21" s="73"/>
      <c r="HE21" s="73"/>
      <c r="HF21" s="73"/>
      <c r="HG21" s="73"/>
      <c r="HH21" s="73"/>
      <c r="HI21" s="73"/>
      <c r="HJ21" s="73"/>
    </row>
    <row r="22" spans="1:218" s="3" customFormat="1" ht="30" customHeight="1" thickBot="1" x14ac:dyDescent="0.3">
      <c r="A22" s="36"/>
      <c r="B22" s="50" t="s">
        <v>58</v>
      </c>
      <c r="C22" s="45" t="s">
        <v>62</v>
      </c>
      <c r="D22" s="21"/>
      <c r="E22" s="64">
        <f>F19</f>
        <v>45306</v>
      </c>
      <c r="F22" s="64">
        <f>E22+56</f>
        <v>45362</v>
      </c>
      <c r="G22" s="75"/>
      <c r="H22" s="75">
        <f t="shared" si="42"/>
        <v>57</v>
      </c>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c r="CC22" s="73"/>
      <c r="CD22" s="73"/>
      <c r="CE22" s="73"/>
      <c r="CF22" s="73"/>
      <c r="CG22" s="73"/>
      <c r="CH22" s="73"/>
      <c r="CI22" s="73"/>
      <c r="CJ22" s="73"/>
      <c r="CK22" s="73"/>
      <c r="CL22" s="73"/>
      <c r="CM22" s="73"/>
      <c r="CN22" s="73"/>
      <c r="CO22" s="73"/>
      <c r="CP22" s="73"/>
      <c r="CQ22" s="73"/>
      <c r="CR22" s="73"/>
      <c r="CS22" s="73"/>
      <c r="CT22" s="73"/>
      <c r="CU22" s="73"/>
      <c r="CV22" s="73"/>
      <c r="CW22" s="73"/>
      <c r="CX22" s="73"/>
      <c r="CY22" s="73"/>
      <c r="CZ22" s="73"/>
      <c r="DA22" s="73"/>
      <c r="DB22" s="73"/>
      <c r="DC22" s="73"/>
      <c r="DD22" s="73"/>
      <c r="DE22" s="73"/>
      <c r="DF22" s="73"/>
      <c r="DG22" s="73"/>
      <c r="DH22" s="73"/>
      <c r="DI22" s="73"/>
      <c r="DJ22" s="73"/>
      <c r="DK22" s="73"/>
      <c r="DL22" s="73"/>
      <c r="DM22" s="73"/>
      <c r="DN22" s="73"/>
      <c r="DO22" s="73"/>
      <c r="DP22" s="73"/>
      <c r="DQ22" s="73"/>
      <c r="DR22" s="73"/>
      <c r="DS22" s="73"/>
      <c r="DT22" s="73"/>
      <c r="DU22" s="73"/>
      <c r="DV22" s="73"/>
      <c r="DW22" s="73"/>
      <c r="DX22" s="73"/>
      <c r="DY22" s="73"/>
      <c r="DZ22" s="73"/>
      <c r="EA22" s="73"/>
      <c r="EB22" s="73"/>
      <c r="EC22" s="73"/>
      <c r="ED22" s="73"/>
      <c r="EE22" s="73"/>
      <c r="EF22" s="73"/>
      <c r="EG22" s="73"/>
      <c r="EH22" s="73"/>
      <c r="EI22" s="73"/>
      <c r="EJ22" s="73"/>
      <c r="EK22" s="73"/>
      <c r="EL22" s="73"/>
      <c r="EM22" s="73"/>
      <c r="EN22" s="73"/>
      <c r="EO22" s="73"/>
      <c r="EP22" s="73"/>
      <c r="EQ22" s="73"/>
      <c r="ER22" s="73"/>
      <c r="ES22" s="73"/>
      <c r="ET22" s="73"/>
      <c r="EU22" s="73"/>
      <c r="EV22" s="73"/>
      <c r="EW22" s="73"/>
      <c r="EX22" s="73"/>
      <c r="EY22" s="73"/>
      <c r="EZ22" s="73"/>
      <c r="FA22" s="73"/>
      <c r="FB22" s="73"/>
      <c r="FC22" s="73"/>
      <c r="FD22" s="73"/>
      <c r="FE22" s="73"/>
      <c r="FF22" s="73"/>
      <c r="FG22" s="73"/>
      <c r="FH22" s="73"/>
      <c r="FI22" s="73"/>
      <c r="FJ22" s="73"/>
      <c r="FK22" s="73"/>
      <c r="FL22" s="73"/>
      <c r="FM22" s="73"/>
      <c r="FN22" s="73"/>
      <c r="FO22" s="73"/>
      <c r="FP22" s="73"/>
      <c r="FQ22" s="73"/>
      <c r="FR22" s="73"/>
      <c r="FS22" s="73"/>
      <c r="FT22" s="73"/>
      <c r="FU22" s="73"/>
      <c r="FV22" s="73"/>
      <c r="FW22" s="73"/>
      <c r="FX22" s="73"/>
      <c r="FY22" s="73"/>
      <c r="FZ22" s="73"/>
      <c r="GA22" s="73"/>
      <c r="GB22" s="73"/>
      <c r="GC22" s="73"/>
      <c r="GD22" s="73"/>
      <c r="GE22" s="73"/>
      <c r="GF22" s="73"/>
      <c r="GG22" s="73"/>
      <c r="GH22" s="73"/>
      <c r="GI22" s="73"/>
      <c r="GJ22" s="73"/>
      <c r="GK22" s="73"/>
      <c r="GL22" s="73"/>
      <c r="GM22" s="73"/>
      <c r="GN22" s="73"/>
      <c r="GO22" s="73"/>
      <c r="GP22" s="73"/>
      <c r="GQ22" s="73"/>
      <c r="GR22" s="73"/>
      <c r="GS22" s="73"/>
      <c r="GT22" s="73"/>
      <c r="GU22" s="73"/>
      <c r="GV22" s="73"/>
      <c r="GW22" s="73"/>
      <c r="GX22" s="73"/>
      <c r="GY22" s="73"/>
      <c r="GZ22" s="73"/>
      <c r="HA22" s="73"/>
      <c r="HB22" s="73"/>
      <c r="HC22" s="73"/>
      <c r="HD22" s="73"/>
      <c r="HE22" s="73"/>
      <c r="HF22" s="73"/>
      <c r="HG22" s="73"/>
      <c r="HH22" s="73"/>
      <c r="HI22" s="73"/>
      <c r="HJ22" s="73"/>
    </row>
    <row r="23" spans="1:218" s="3" customFormat="1" ht="30" customHeight="1" thickBot="1" x14ac:dyDescent="0.3">
      <c r="A23" s="36"/>
      <c r="B23" s="50" t="s">
        <v>57</v>
      </c>
      <c r="C23" s="45" t="s">
        <v>55</v>
      </c>
      <c r="D23" s="21"/>
      <c r="E23" s="64">
        <f>F21</f>
        <v>45341</v>
      </c>
      <c r="F23" s="64">
        <f>E23+14</f>
        <v>45355</v>
      </c>
      <c r="G23" s="75"/>
      <c r="H23" s="75"/>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c r="CC23" s="73"/>
      <c r="CD23" s="73"/>
      <c r="CE23" s="73"/>
      <c r="CF23" s="73"/>
      <c r="CG23" s="73"/>
      <c r="CH23" s="73"/>
      <c r="CI23" s="73"/>
      <c r="CJ23" s="73"/>
      <c r="CK23" s="73"/>
      <c r="CL23" s="73"/>
      <c r="CM23" s="73"/>
      <c r="CN23" s="73"/>
      <c r="CO23" s="73"/>
      <c r="CP23" s="73"/>
      <c r="CQ23" s="73"/>
      <c r="CR23" s="73"/>
      <c r="CS23" s="73"/>
      <c r="CT23" s="73"/>
      <c r="CU23" s="73"/>
      <c r="CV23" s="73"/>
      <c r="CW23" s="73"/>
      <c r="CX23" s="73"/>
      <c r="CY23" s="73"/>
      <c r="CZ23" s="73"/>
      <c r="DA23" s="73"/>
      <c r="DB23" s="73"/>
      <c r="DC23" s="73"/>
      <c r="DD23" s="73"/>
      <c r="DE23" s="73"/>
      <c r="DF23" s="73"/>
      <c r="DG23" s="73"/>
      <c r="DH23" s="73"/>
      <c r="DI23" s="73"/>
      <c r="DJ23" s="73"/>
      <c r="DK23" s="73"/>
      <c r="DL23" s="73"/>
      <c r="DM23" s="73"/>
      <c r="DN23" s="73"/>
      <c r="DO23" s="73"/>
      <c r="DP23" s="73"/>
      <c r="DQ23" s="73"/>
      <c r="DR23" s="73"/>
      <c r="DS23" s="73"/>
      <c r="DT23" s="73"/>
      <c r="DU23" s="73"/>
      <c r="DV23" s="73"/>
      <c r="DW23" s="73"/>
      <c r="DX23" s="73"/>
      <c r="DY23" s="73"/>
      <c r="DZ23" s="73"/>
      <c r="EA23" s="73"/>
      <c r="EB23" s="73"/>
      <c r="EC23" s="73"/>
      <c r="ED23" s="73"/>
      <c r="EE23" s="73"/>
      <c r="EF23" s="73"/>
      <c r="EG23" s="73"/>
      <c r="EH23" s="73"/>
      <c r="EI23" s="73"/>
      <c r="EJ23" s="73"/>
      <c r="EK23" s="73"/>
      <c r="EL23" s="73"/>
      <c r="EM23" s="73"/>
      <c r="EN23" s="73"/>
      <c r="EO23" s="73"/>
      <c r="EP23" s="73"/>
      <c r="EQ23" s="73"/>
      <c r="ER23" s="73"/>
      <c r="ES23" s="73"/>
      <c r="ET23" s="73"/>
      <c r="EU23" s="73"/>
      <c r="EV23" s="73"/>
      <c r="EW23" s="73"/>
      <c r="EX23" s="73"/>
      <c r="EY23" s="73"/>
      <c r="EZ23" s="73"/>
      <c r="FA23" s="73"/>
      <c r="FB23" s="73"/>
      <c r="FC23" s="73"/>
      <c r="FD23" s="73"/>
      <c r="FE23" s="73"/>
      <c r="FF23" s="73"/>
      <c r="FG23" s="73"/>
      <c r="FH23" s="73"/>
      <c r="FI23" s="73"/>
      <c r="FJ23" s="73"/>
      <c r="FK23" s="73"/>
      <c r="FL23" s="73"/>
      <c r="FM23" s="73"/>
      <c r="FN23" s="73"/>
      <c r="FO23" s="73"/>
      <c r="FP23" s="73"/>
      <c r="FQ23" s="73"/>
      <c r="FR23" s="73"/>
      <c r="FS23" s="73"/>
      <c r="FT23" s="73"/>
      <c r="FU23" s="73"/>
      <c r="FV23" s="73"/>
      <c r="FW23" s="73"/>
      <c r="FX23" s="73"/>
      <c r="FY23" s="73"/>
      <c r="FZ23" s="73"/>
      <c r="GA23" s="73"/>
      <c r="GB23" s="73"/>
      <c r="GC23" s="73"/>
      <c r="GD23" s="73"/>
      <c r="GE23" s="73"/>
      <c r="GF23" s="73"/>
      <c r="GG23" s="73"/>
      <c r="GH23" s="73"/>
      <c r="GI23" s="73"/>
      <c r="GJ23" s="73"/>
      <c r="GK23" s="73"/>
      <c r="GL23" s="73"/>
      <c r="GM23" s="73"/>
      <c r="GN23" s="73"/>
      <c r="GO23" s="73"/>
      <c r="GP23" s="73"/>
      <c r="GQ23" s="73"/>
      <c r="GR23" s="73"/>
      <c r="GS23" s="73"/>
      <c r="GT23" s="73"/>
      <c r="GU23" s="73"/>
      <c r="GV23" s="73"/>
      <c r="GW23" s="73"/>
      <c r="GX23" s="73"/>
      <c r="GY23" s="73"/>
      <c r="GZ23" s="73"/>
      <c r="HA23" s="73"/>
      <c r="HB23" s="73"/>
      <c r="HC23" s="73"/>
      <c r="HD23" s="73"/>
      <c r="HE23" s="73"/>
      <c r="HF23" s="73"/>
      <c r="HG23" s="73"/>
      <c r="HH23" s="73"/>
      <c r="HI23" s="73"/>
      <c r="HJ23" s="73"/>
    </row>
    <row r="24" spans="1:218" s="3" customFormat="1" ht="30" customHeight="1" thickBot="1" x14ac:dyDescent="0.3">
      <c r="A24" s="36"/>
      <c r="B24" s="50" t="s">
        <v>59</v>
      </c>
      <c r="C24" s="45" t="s">
        <v>40</v>
      </c>
      <c r="D24" s="21"/>
      <c r="E24" s="64">
        <f>F23</f>
        <v>45355</v>
      </c>
      <c r="F24" s="64">
        <f>E24+7</f>
        <v>45362</v>
      </c>
      <c r="G24" s="75"/>
      <c r="H24" s="75">
        <f t="shared" si="42"/>
        <v>8</v>
      </c>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c r="CC24" s="73"/>
      <c r="CD24" s="73"/>
      <c r="CE24" s="73"/>
      <c r="CF24" s="73"/>
      <c r="CG24" s="73"/>
      <c r="CH24" s="73"/>
      <c r="CI24" s="73"/>
      <c r="CJ24" s="73"/>
      <c r="CK24" s="73"/>
      <c r="CL24" s="73"/>
      <c r="CM24" s="73"/>
      <c r="CN24" s="73"/>
      <c r="CO24" s="73"/>
      <c r="CP24" s="73"/>
      <c r="CQ24" s="73"/>
      <c r="CR24" s="73"/>
      <c r="CS24" s="73"/>
      <c r="CT24" s="73"/>
      <c r="CU24" s="73"/>
      <c r="CV24" s="73"/>
      <c r="CW24" s="73"/>
      <c r="CX24" s="73"/>
      <c r="CY24" s="73"/>
      <c r="CZ24" s="73"/>
      <c r="DA24" s="73"/>
      <c r="DB24" s="73"/>
      <c r="DC24" s="73"/>
      <c r="DD24" s="73"/>
      <c r="DE24" s="73"/>
      <c r="DF24" s="73"/>
      <c r="DG24" s="73"/>
      <c r="DH24" s="73"/>
      <c r="DI24" s="73"/>
      <c r="DJ24" s="73"/>
      <c r="DK24" s="73"/>
      <c r="DL24" s="73"/>
      <c r="DM24" s="73"/>
      <c r="DN24" s="73"/>
      <c r="DO24" s="73"/>
      <c r="DP24" s="73"/>
      <c r="DQ24" s="73"/>
      <c r="DR24" s="73"/>
      <c r="DS24" s="73"/>
      <c r="DT24" s="73"/>
      <c r="DU24" s="73"/>
      <c r="DV24" s="73"/>
      <c r="DW24" s="73"/>
      <c r="DX24" s="73"/>
      <c r="DY24" s="73"/>
      <c r="DZ24" s="73"/>
      <c r="EA24" s="73"/>
      <c r="EB24" s="73"/>
      <c r="EC24" s="73"/>
      <c r="ED24" s="73"/>
      <c r="EE24" s="73"/>
      <c r="EF24" s="73"/>
      <c r="EG24" s="73"/>
      <c r="EH24" s="73"/>
      <c r="EI24" s="73"/>
      <c r="EJ24" s="73"/>
      <c r="EK24" s="73"/>
      <c r="EL24" s="73"/>
      <c r="EM24" s="73"/>
      <c r="EN24" s="73"/>
      <c r="EO24" s="73"/>
      <c r="EP24" s="73"/>
      <c r="EQ24" s="73"/>
      <c r="ER24" s="73"/>
      <c r="ES24" s="73"/>
      <c r="ET24" s="73"/>
      <c r="EU24" s="73"/>
      <c r="EV24" s="73"/>
      <c r="EW24" s="73"/>
      <c r="EX24" s="73"/>
      <c r="EY24" s="73"/>
      <c r="EZ24" s="73"/>
      <c r="FA24" s="73"/>
      <c r="FB24" s="73"/>
      <c r="FC24" s="73"/>
      <c r="FD24" s="73"/>
      <c r="FE24" s="73"/>
      <c r="FF24" s="73"/>
      <c r="FG24" s="73"/>
      <c r="FH24" s="73"/>
      <c r="FI24" s="73"/>
      <c r="FJ24" s="73"/>
      <c r="FK24" s="73"/>
      <c r="FL24" s="73"/>
      <c r="FM24" s="73"/>
      <c r="FN24" s="73"/>
      <c r="FO24" s="73"/>
      <c r="FP24" s="73"/>
      <c r="FQ24" s="73"/>
      <c r="FR24" s="73"/>
      <c r="FS24" s="73"/>
      <c r="FT24" s="73"/>
      <c r="FU24" s="73"/>
      <c r="FV24" s="73"/>
      <c r="FW24" s="73"/>
      <c r="FX24" s="73"/>
      <c r="FY24" s="73"/>
      <c r="FZ24" s="73"/>
      <c r="GA24" s="73"/>
      <c r="GB24" s="73"/>
      <c r="GC24" s="73"/>
      <c r="GD24" s="73"/>
      <c r="GE24" s="73"/>
      <c r="GF24" s="73"/>
      <c r="GG24" s="73"/>
      <c r="GH24" s="73"/>
      <c r="GI24" s="73"/>
      <c r="GJ24" s="73"/>
      <c r="GK24" s="73"/>
      <c r="GL24" s="73"/>
      <c r="GM24" s="73"/>
      <c r="GN24" s="73"/>
      <c r="GO24" s="73"/>
      <c r="GP24" s="73"/>
      <c r="GQ24" s="73"/>
      <c r="GR24" s="73"/>
      <c r="GS24" s="73"/>
      <c r="GT24" s="73"/>
      <c r="GU24" s="73"/>
      <c r="GV24" s="73"/>
      <c r="GW24" s="73"/>
      <c r="GX24" s="73"/>
      <c r="GY24" s="73"/>
      <c r="GZ24" s="73"/>
      <c r="HA24" s="73"/>
      <c r="HB24" s="73"/>
      <c r="HC24" s="73"/>
      <c r="HD24" s="73"/>
      <c r="HE24" s="73"/>
      <c r="HF24" s="73"/>
      <c r="HG24" s="73"/>
      <c r="HH24" s="73"/>
      <c r="HI24" s="73"/>
      <c r="HJ24" s="73"/>
    </row>
    <row r="25" spans="1:218" s="3" customFormat="1" ht="30" customHeight="1" thickBot="1" x14ac:dyDescent="0.3">
      <c r="A25" s="36"/>
      <c r="B25" s="50" t="s">
        <v>60</v>
      </c>
      <c r="C25" s="45" t="s">
        <v>40</v>
      </c>
      <c r="D25" s="21"/>
      <c r="E25" s="64">
        <f>F24</f>
        <v>45362</v>
      </c>
      <c r="F25" s="64">
        <f>E25+63</f>
        <v>45425</v>
      </c>
      <c r="G25" s="75"/>
      <c r="H25" s="75">
        <f t="shared" si="42"/>
        <v>64</v>
      </c>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c r="CC25" s="73"/>
      <c r="CD25" s="73"/>
      <c r="CE25" s="73"/>
      <c r="CF25" s="73"/>
      <c r="CG25" s="73"/>
      <c r="CH25" s="73"/>
      <c r="CI25" s="73"/>
      <c r="CJ25" s="73"/>
      <c r="CK25" s="73"/>
      <c r="CL25" s="73"/>
      <c r="CM25" s="73"/>
      <c r="CN25" s="73"/>
      <c r="CO25" s="73"/>
      <c r="CP25" s="73"/>
      <c r="CQ25" s="73"/>
      <c r="CR25" s="73"/>
      <c r="CS25" s="73"/>
      <c r="CT25" s="73"/>
      <c r="CU25" s="73"/>
      <c r="CV25" s="73"/>
      <c r="CW25" s="73"/>
      <c r="CX25" s="73"/>
      <c r="CY25" s="73"/>
      <c r="CZ25" s="73"/>
      <c r="DA25" s="73"/>
      <c r="DB25" s="73"/>
      <c r="DC25" s="73"/>
      <c r="DD25" s="73"/>
      <c r="DE25" s="73"/>
      <c r="DF25" s="73"/>
      <c r="DG25" s="73"/>
      <c r="DH25" s="73"/>
      <c r="DI25" s="73"/>
      <c r="DJ25" s="73"/>
      <c r="DK25" s="73"/>
      <c r="DL25" s="73"/>
      <c r="DM25" s="73"/>
      <c r="DN25" s="73"/>
      <c r="DO25" s="73"/>
      <c r="DP25" s="73"/>
      <c r="DQ25" s="73"/>
      <c r="DR25" s="73"/>
      <c r="DS25" s="73"/>
      <c r="DT25" s="73"/>
      <c r="DU25" s="73"/>
      <c r="DV25" s="73"/>
      <c r="DW25" s="73"/>
      <c r="DX25" s="73"/>
      <c r="DY25" s="73"/>
      <c r="DZ25" s="73"/>
      <c r="EA25" s="73"/>
      <c r="EB25" s="73"/>
      <c r="EC25" s="73"/>
      <c r="ED25" s="73"/>
      <c r="EE25" s="73"/>
      <c r="EF25" s="73"/>
      <c r="EG25" s="73"/>
      <c r="EH25" s="73"/>
      <c r="EI25" s="73"/>
      <c r="EJ25" s="73"/>
      <c r="EK25" s="73"/>
      <c r="EL25" s="73"/>
      <c r="EM25" s="73"/>
      <c r="EN25" s="73"/>
      <c r="EO25" s="73"/>
      <c r="EP25" s="73"/>
      <c r="EQ25" s="73"/>
      <c r="ER25" s="73"/>
      <c r="ES25" s="73"/>
      <c r="ET25" s="73"/>
      <c r="EU25" s="73"/>
      <c r="EV25" s="73"/>
      <c r="EW25" s="73"/>
      <c r="EX25" s="73"/>
      <c r="EY25" s="73"/>
      <c r="EZ25" s="73"/>
      <c r="FA25" s="73"/>
      <c r="FB25" s="73"/>
      <c r="FC25" s="73"/>
      <c r="FD25" s="73"/>
      <c r="FE25" s="73"/>
      <c r="FF25" s="73"/>
      <c r="FG25" s="73"/>
      <c r="FH25" s="73"/>
      <c r="FI25" s="73"/>
      <c r="FJ25" s="73"/>
      <c r="FK25" s="73"/>
      <c r="FL25" s="73"/>
      <c r="FM25" s="73"/>
      <c r="FN25" s="73"/>
      <c r="FO25" s="73"/>
      <c r="FP25" s="73"/>
      <c r="FQ25" s="73"/>
      <c r="FR25" s="73"/>
      <c r="FS25" s="73"/>
      <c r="FT25" s="73"/>
      <c r="FU25" s="73"/>
      <c r="FV25" s="73"/>
      <c r="FW25" s="73"/>
      <c r="FX25" s="73"/>
      <c r="FY25" s="73"/>
      <c r="FZ25" s="73"/>
      <c r="GA25" s="73"/>
      <c r="GB25" s="73"/>
      <c r="GC25" s="73"/>
      <c r="GD25" s="73"/>
      <c r="GE25" s="73"/>
      <c r="GF25" s="73"/>
      <c r="GG25" s="73"/>
      <c r="GH25" s="73"/>
      <c r="GI25" s="73"/>
      <c r="GJ25" s="73"/>
      <c r="GK25" s="73"/>
      <c r="GL25" s="73"/>
      <c r="GM25" s="73"/>
      <c r="GN25" s="73"/>
      <c r="GO25" s="73"/>
      <c r="GP25" s="73"/>
      <c r="GQ25" s="73"/>
      <c r="GR25" s="73"/>
      <c r="GS25" s="73"/>
      <c r="GT25" s="73"/>
      <c r="GU25" s="73"/>
      <c r="GV25" s="73"/>
      <c r="GW25" s="73"/>
      <c r="GX25" s="73"/>
      <c r="GY25" s="73"/>
      <c r="GZ25" s="73"/>
      <c r="HA25" s="73"/>
      <c r="HB25" s="73"/>
      <c r="HC25" s="73"/>
      <c r="HD25" s="73"/>
      <c r="HE25" s="73"/>
      <c r="HF25" s="73"/>
      <c r="HG25" s="73"/>
      <c r="HH25" s="73"/>
      <c r="HI25" s="73"/>
      <c r="HJ25" s="73"/>
    </row>
    <row r="26" spans="1:218" s="3" customFormat="1" ht="30" customHeight="1" thickBot="1" x14ac:dyDescent="0.3">
      <c r="A26" s="36"/>
      <c r="B26" s="50" t="s">
        <v>61</v>
      </c>
      <c r="C26" s="45" t="s">
        <v>40</v>
      </c>
      <c r="D26" s="21"/>
      <c r="E26" s="64">
        <f>E25</f>
        <v>45362</v>
      </c>
      <c r="F26" s="64">
        <f>E26+63</f>
        <v>45425</v>
      </c>
      <c r="G26" s="75"/>
      <c r="H26" s="75">
        <f t="shared" si="42"/>
        <v>64</v>
      </c>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c r="CC26" s="73"/>
      <c r="CD26" s="73"/>
      <c r="CE26" s="73"/>
      <c r="CF26" s="73"/>
      <c r="CG26" s="73"/>
      <c r="CH26" s="73"/>
      <c r="CI26" s="73"/>
      <c r="CJ26" s="73"/>
      <c r="CK26" s="73"/>
      <c r="CL26" s="73"/>
      <c r="CM26" s="73"/>
      <c r="CN26" s="73"/>
      <c r="CO26" s="73"/>
      <c r="CP26" s="73"/>
      <c r="CQ26" s="73"/>
      <c r="CR26" s="73"/>
      <c r="CS26" s="73"/>
      <c r="CT26" s="73"/>
      <c r="CU26" s="73"/>
      <c r="CV26" s="73"/>
      <c r="CW26" s="73"/>
      <c r="CX26" s="73"/>
      <c r="CY26" s="73"/>
      <c r="CZ26" s="73"/>
      <c r="DA26" s="73"/>
      <c r="DB26" s="73"/>
      <c r="DC26" s="73"/>
      <c r="DD26" s="73"/>
      <c r="DE26" s="73"/>
      <c r="DF26" s="73"/>
      <c r="DG26" s="73"/>
      <c r="DH26" s="73"/>
      <c r="DI26" s="73"/>
      <c r="DJ26" s="73"/>
      <c r="DK26" s="73"/>
      <c r="DL26" s="73"/>
      <c r="DM26" s="73"/>
      <c r="DN26" s="73"/>
      <c r="DO26" s="73"/>
      <c r="DP26" s="73"/>
      <c r="DQ26" s="73"/>
      <c r="DR26" s="73"/>
      <c r="DS26" s="73"/>
      <c r="DT26" s="73"/>
      <c r="DU26" s="73"/>
      <c r="DV26" s="73"/>
      <c r="DW26" s="73"/>
      <c r="DX26" s="73"/>
      <c r="DY26" s="73"/>
      <c r="DZ26" s="73"/>
      <c r="EA26" s="73"/>
      <c r="EB26" s="73"/>
      <c r="EC26" s="73"/>
      <c r="ED26" s="73"/>
      <c r="EE26" s="73"/>
      <c r="EF26" s="73"/>
      <c r="EG26" s="73"/>
      <c r="EH26" s="73"/>
      <c r="EI26" s="73"/>
      <c r="EJ26" s="73"/>
      <c r="EK26" s="73"/>
      <c r="EL26" s="73"/>
      <c r="EM26" s="73"/>
      <c r="EN26" s="73"/>
      <c r="EO26" s="73"/>
      <c r="EP26" s="73"/>
      <c r="EQ26" s="73"/>
      <c r="ER26" s="73"/>
      <c r="ES26" s="73"/>
      <c r="ET26" s="73"/>
      <c r="EU26" s="73"/>
      <c r="EV26" s="73"/>
      <c r="EW26" s="73"/>
      <c r="EX26" s="73"/>
      <c r="EY26" s="73"/>
      <c r="EZ26" s="73"/>
      <c r="FA26" s="73"/>
      <c r="FB26" s="73"/>
      <c r="FC26" s="73"/>
      <c r="FD26" s="73"/>
      <c r="FE26" s="73"/>
      <c r="FF26" s="73"/>
      <c r="FG26" s="73"/>
      <c r="FH26" s="73"/>
      <c r="FI26" s="73"/>
      <c r="FJ26" s="73"/>
      <c r="FK26" s="73"/>
      <c r="FL26" s="73"/>
      <c r="FM26" s="73"/>
      <c r="FN26" s="73"/>
      <c r="FO26" s="73"/>
      <c r="FP26" s="73"/>
      <c r="FQ26" s="73"/>
      <c r="FR26" s="73"/>
      <c r="FS26" s="73"/>
      <c r="FT26" s="73"/>
      <c r="FU26" s="73"/>
      <c r="FV26" s="73"/>
      <c r="FW26" s="73"/>
      <c r="FX26" s="73"/>
      <c r="FY26" s="73"/>
      <c r="FZ26" s="73"/>
      <c r="GA26" s="73"/>
      <c r="GB26" s="73"/>
      <c r="GC26" s="73"/>
      <c r="GD26" s="73"/>
      <c r="GE26" s="73"/>
      <c r="GF26" s="73"/>
      <c r="GG26" s="73"/>
      <c r="GH26" s="73"/>
      <c r="GI26" s="73"/>
      <c r="GJ26" s="73"/>
      <c r="GK26" s="73"/>
      <c r="GL26" s="73"/>
      <c r="GM26" s="73"/>
      <c r="GN26" s="73"/>
      <c r="GO26" s="73"/>
      <c r="GP26" s="73"/>
      <c r="GQ26" s="73"/>
      <c r="GR26" s="73"/>
      <c r="GS26" s="73"/>
      <c r="GT26" s="73"/>
      <c r="GU26" s="73"/>
      <c r="GV26" s="73"/>
      <c r="GW26" s="73"/>
      <c r="GX26" s="73"/>
      <c r="GY26" s="73"/>
      <c r="GZ26" s="73"/>
      <c r="HA26" s="73"/>
      <c r="HB26" s="73"/>
      <c r="HC26" s="73"/>
      <c r="HD26" s="73"/>
      <c r="HE26" s="73"/>
      <c r="HF26" s="73"/>
      <c r="HG26" s="73"/>
      <c r="HH26" s="73"/>
      <c r="HI26" s="73"/>
      <c r="HJ26" s="73"/>
    </row>
    <row r="27" spans="1:218" s="3" customFormat="1" ht="30" customHeight="1" thickBot="1" x14ac:dyDescent="0.3">
      <c r="A27" s="36" t="s">
        <v>11</v>
      </c>
      <c r="B27" s="22" t="s">
        <v>63</v>
      </c>
      <c r="C27" s="46"/>
      <c r="D27" s="23"/>
      <c r="E27" s="65"/>
      <c r="F27" s="66"/>
      <c r="G27" s="75"/>
      <c r="H27" s="75" t="str">
        <f t="shared" si="42"/>
        <v/>
      </c>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c r="CC27" s="73"/>
      <c r="CD27" s="73"/>
      <c r="CE27" s="73"/>
      <c r="CF27" s="73"/>
      <c r="CG27" s="73"/>
      <c r="CH27" s="73"/>
      <c r="CI27" s="73"/>
      <c r="CJ27" s="73"/>
      <c r="CK27" s="73"/>
      <c r="CL27" s="73"/>
      <c r="CM27" s="73"/>
      <c r="CN27" s="73"/>
      <c r="CO27" s="73"/>
      <c r="CP27" s="73"/>
      <c r="CQ27" s="73"/>
      <c r="CR27" s="73"/>
      <c r="CS27" s="73"/>
      <c r="CT27" s="73"/>
      <c r="CU27" s="73"/>
      <c r="CV27" s="73"/>
      <c r="CW27" s="73"/>
      <c r="CX27" s="73"/>
      <c r="CY27" s="73"/>
      <c r="CZ27" s="73"/>
      <c r="DA27" s="73"/>
      <c r="DB27" s="73"/>
      <c r="DC27" s="73"/>
      <c r="DD27" s="73"/>
      <c r="DE27" s="73"/>
      <c r="DF27" s="73"/>
      <c r="DG27" s="73"/>
      <c r="DH27" s="73"/>
      <c r="DI27" s="73"/>
      <c r="DJ27" s="73"/>
      <c r="DK27" s="73"/>
      <c r="DL27" s="73"/>
      <c r="DM27" s="73"/>
      <c r="DN27" s="73"/>
      <c r="DO27" s="73"/>
      <c r="DP27" s="73"/>
      <c r="DQ27" s="73"/>
      <c r="DR27" s="73"/>
      <c r="DS27" s="73"/>
      <c r="DT27" s="73"/>
      <c r="DU27" s="73"/>
      <c r="DV27" s="73"/>
      <c r="DW27" s="73"/>
      <c r="DX27" s="73"/>
      <c r="DY27" s="73"/>
      <c r="DZ27" s="73"/>
      <c r="EA27" s="73"/>
      <c r="EB27" s="73"/>
      <c r="EC27" s="73"/>
      <c r="ED27" s="73"/>
      <c r="EE27" s="73"/>
      <c r="EF27" s="73"/>
      <c r="EG27" s="73"/>
      <c r="EH27" s="73"/>
      <c r="EI27" s="73"/>
      <c r="EJ27" s="73"/>
      <c r="EK27" s="73"/>
      <c r="EL27" s="73"/>
      <c r="EM27" s="73"/>
      <c r="EN27" s="73"/>
      <c r="EO27" s="73"/>
      <c r="EP27" s="73"/>
      <c r="EQ27" s="73"/>
      <c r="ER27" s="73"/>
      <c r="ES27" s="73"/>
      <c r="ET27" s="73"/>
      <c r="EU27" s="73"/>
      <c r="EV27" s="73"/>
      <c r="EW27" s="73"/>
      <c r="EX27" s="73"/>
      <c r="EY27" s="73"/>
      <c r="EZ27" s="73"/>
      <c r="FA27" s="73"/>
      <c r="FB27" s="73"/>
      <c r="FC27" s="73"/>
      <c r="FD27" s="73"/>
      <c r="FE27" s="73"/>
      <c r="FF27" s="73"/>
      <c r="FG27" s="73"/>
      <c r="FH27" s="73"/>
      <c r="FI27" s="73"/>
      <c r="FJ27" s="73"/>
      <c r="FK27" s="73"/>
      <c r="FL27" s="73"/>
      <c r="FM27" s="73"/>
      <c r="FN27" s="73"/>
      <c r="FO27" s="73"/>
      <c r="FP27" s="73"/>
      <c r="FQ27" s="73"/>
      <c r="FR27" s="73"/>
      <c r="FS27" s="73"/>
      <c r="FT27" s="73"/>
      <c r="FU27" s="73"/>
      <c r="FV27" s="73"/>
      <c r="FW27" s="73"/>
      <c r="FX27" s="73"/>
      <c r="FY27" s="73"/>
      <c r="FZ27" s="73"/>
      <c r="GA27" s="73"/>
      <c r="GB27" s="73"/>
      <c r="GC27" s="73"/>
      <c r="GD27" s="73"/>
      <c r="GE27" s="73"/>
      <c r="GF27" s="73"/>
      <c r="GG27" s="73"/>
      <c r="GH27" s="73"/>
      <c r="GI27" s="73"/>
      <c r="GJ27" s="73"/>
      <c r="GK27" s="73"/>
      <c r="GL27" s="73"/>
      <c r="GM27" s="73"/>
      <c r="GN27" s="73"/>
      <c r="GO27" s="73"/>
      <c r="GP27" s="73"/>
      <c r="GQ27" s="73"/>
      <c r="GR27" s="73"/>
      <c r="GS27" s="73"/>
      <c r="GT27" s="73"/>
      <c r="GU27" s="73"/>
      <c r="GV27" s="73"/>
      <c r="GW27" s="73"/>
      <c r="GX27" s="73"/>
      <c r="GY27" s="73"/>
      <c r="GZ27" s="73"/>
      <c r="HA27" s="73"/>
      <c r="HB27" s="73"/>
      <c r="HC27" s="73"/>
      <c r="HD27" s="73"/>
      <c r="HE27" s="73"/>
      <c r="HF27" s="73"/>
      <c r="HG27" s="73"/>
      <c r="HH27" s="73"/>
      <c r="HI27" s="73"/>
      <c r="HJ27" s="73"/>
    </row>
    <row r="28" spans="1:218" s="3" customFormat="1" ht="30" customHeight="1" thickBot="1" x14ac:dyDescent="0.3">
      <c r="A28" s="36"/>
      <c r="B28" s="51" t="s">
        <v>64</v>
      </c>
      <c r="C28" s="47" t="s">
        <v>69</v>
      </c>
      <c r="D28" s="24"/>
      <c r="E28" s="67">
        <f>F26</f>
        <v>45425</v>
      </c>
      <c r="F28" s="67">
        <f>F31</f>
        <v>45450</v>
      </c>
      <c r="G28" s="75"/>
      <c r="H28" s="75">
        <f t="shared" si="42"/>
        <v>26</v>
      </c>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c r="CC28" s="73"/>
      <c r="CD28" s="73"/>
      <c r="CE28" s="73"/>
      <c r="CF28" s="73"/>
      <c r="CG28" s="73"/>
      <c r="CH28" s="73"/>
      <c r="CI28" s="73"/>
      <c r="CJ28" s="73"/>
      <c r="CK28" s="73"/>
      <c r="CL28" s="73"/>
      <c r="CM28" s="73"/>
      <c r="CN28" s="73"/>
      <c r="CO28" s="73"/>
      <c r="CP28" s="73"/>
      <c r="CQ28" s="73"/>
      <c r="CR28" s="73"/>
      <c r="CS28" s="73"/>
      <c r="CT28" s="73"/>
      <c r="CU28" s="73"/>
      <c r="CV28" s="73"/>
      <c r="CW28" s="73"/>
      <c r="CX28" s="73"/>
      <c r="CY28" s="73"/>
      <c r="CZ28" s="73"/>
      <c r="DA28" s="73"/>
      <c r="DB28" s="73"/>
      <c r="DC28" s="73"/>
      <c r="DD28" s="73"/>
      <c r="DE28" s="73"/>
      <c r="DF28" s="73"/>
      <c r="DG28" s="73"/>
      <c r="DH28" s="73"/>
      <c r="DI28" s="73"/>
      <c r="DJ28" s="73"/>
      <c r="DK28" s="73"/>
      <c r="DL28" s="73"/>
      <c r="DM28" s="73"/>
      <c r="DN28" s="73"/>
      <c r="DO28" s="73"/>
      <c r="DP28" s="73"/>
      <c r="DQ28" s="73"/>
      <c r="DR28" s="73"/>
      <c r="DS28" s="73"/>
      <c r="DT28" s="73"/>
      <c r="DU28" s="73"/>
      <c r="DV28" s="73"/>
      <c r="DW28" s="73"/>
      <c r="DX28" s="73"/>
      <c r="DY28" s="73"/>
      <c r="DZ28" s="73"/>
      <c r="EA28" s="73"/>
      <c r="EB28" s="73"/>
      <c r="EC28" s="73"/>
      <c r="ED28" s="73"/>
      <c r="EE28" s="73"/>
      <c r="EF28" s="73"/>
      <c r="EG28" s="73"/>
      <c r="EH28" s="73"/>
      <c r="EI28" s="73"/>
      <c r="EJ28" s="73"/>
      <c r="EK28" s="73"/>
      <c r="EL28" s="73"/>
      <c r="EM28" s="73"/>
      <c r="EN28" s="73"/>
      <c r="EO28" s="73"/>
      <c r="EP28" s="73"/>
      <c r="EQ28" s="73"/>
      <c r="ER28" s="73"/>
      <c r="ES28" s="73"/>
      <c r="ET28" s="73"/>
      <c r="EU28" s="73"/>
      <c r="EV28" s="73"/>
      <c r="EW28" s="73"/>
      <c r="EX28" s="73"/>
      <c r="EY28" s="73"/>
      <c r="EZ28" s="73"/>
      <c r="FA28" s="73"/>
      <c r="FB28" s="73"/>
      <c r="FC28" s="73"/>
      <c r="FD28" s="73"/>
      <c r="FE28" s="73"/>
      <c r="FF28" s="73"/>
      <c r="FG28" s="73"/>
      <c r="FH28" s="73"/>
      <c r="FI28" s="73"/>
      <c r="FJ28" s="73"/>
      <c r="FK28" s="73"/>
      <c r="FL28" s="73"/>
      <c r="FM28" s="73"/>
      <c r="FN28" s="73"/>
      <c r="FO28" s="73"/>
      <c r="FP28" s="73"/>
      <c r="FQ28" s="73"/>
      <c r="FR28" s="73"/>
      <c r="FS28" s="73"/>
      <c r="FT28" s="73"/>
      <c r="FU28" s="73"/>
      <c r="FV28" s="73"/>
      <c r="FW28" s="73"/>
      <c r="FX28" s="73"/>
      <c r="FY28" s="73"/>
      <c r="FZ28" s="73"/>
      <c r="GA28" s="73"/>
      <c r="GB28" s="73"/>
      <c r="GC28" s="73"/>
      <c r="GD28" s="73"/>
      <c r="GE28" s="73"/>
      <c r="GF28" s="73"/>
      <c r="GG28" s="73"/>
      <c r="GH28" s="73"/>
      <c r="GI28" s="73"/>
      <c r="GJ28" s="73"/>
      <c r="GK28" s="73"/>
      <c r="GL28" s="73"/>
      <c r="GM28" s="73"/>
      <c r="GN28" s="73"/>
      <c r="GO28" s="73"/>
      <c r="GP28" s="73"/>
      <c r="GQ28" s="73"/>
      <c r="GR28" s="73"/>
      <c r="GS28" s="73"/>
      <c r="GT28" s="73"/>
      <c r="GU28" s="73"/>
      <c r="GV28" s="73"/>
      <c r="GW28" s="73"/>
      <c r="GX28" s="73"/>
      <c r="GY28" s="73"/>
      <c r="GZ28" s="73"/>
      <c r="HA28" s="73"/>
      <c r="HB28" s="73"/>
      <c r="HC28" s="73"/>
      <c r="HD28" s="73"/>
      <c r="HE28" s="73"/>
      <c r="HF28" s="73"/>
      <c r="HG28" s="73"/>
      <c r="HH28" s="73"/>
      <c r="HI28" s="73"/>
      <c r="HJ28" s="73"/>
    </row>
    <row r="29" spans="1:218" s="3" customFormat="1" ht="30" customHeight="1" thickBot="1" x14ac:dyDescent="0.3">
      <c r="A29" s="36"/>
      <c r="B29" s="51" t="s">
        <v>65</v>
      </c>
      <c r="C29" s="47" t="s">
        <v>52</v>
      </c>
      <c r="D29" s="24"/>
      <c r="E29" s="67">
        <f>F26</f>
        <v>45425</v>
      </c>
      <c r="F29" s="67">
        <f>F31</f>
        <v>45450</v>
      </c>
      <c r="G29" s="75"/>
      <c r="H29" s="75">
        <f t="shared" si="42"/>
        <v>26</v>
      </c>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c r="CC29" s="73"/>
      <c r="CD29" s="73"/>
      <c r="CE29" s="73"/>
      <c r="CF29" s="73"/>
      <c r="CG29" s="73"/>
      <c r="CH29" s="73"/>
      <c r="CI29" s="73"/>
      <c r="CJ29" s="73"/>
      <c r="CK29" s="73"/>
      <c r="CL29" s="73"/>
      <c r="CM29" s="73"/>
      <c r="CN29" s="73"/>
      <c r="CO29" s="73"/>
      <c r="CP29" s="73"/>
      <c r="CQ29" s="73"/>
      <c r="CR29" s="73"/>
      <c r="CS29" s="73"/>
      <c r="CT29" s="73"/>
      <c r="CU29" s="73"/>
      <c r="CV29" s="73"/>
      <c r="CW29" s="73"/>
      <c r="CX29" s="73"/>
      <c r="CY29" s="73"/>
      <c r="CZ29" s="73"/>
      <c r="DA29" s="73"/>
      <c r="DB29" s="73"/>
      <c r="DC29" s="73"/>
      <c r="DD29" s="73"/>
      <c r="DE29" s="73"/>
      <c r="DF29" s="73"/>
      <c r="DG29" s="73"/>
      <c r="DH29" s="73"/>
      <c r="DI29" s="73"/>
      <c r="DJ29" s="73"/>
      <c r="DK29" s="73"/>
      <c r="DL29" s="73"/>
      <c r="DM29" s="73"/>
      <c r="DN29" s="73"/>
      <c r="DO29" s="73"/>
      <c r="DP29" s="73"/>
      <c r="DQ29" s="73"/>
      <c r="DR29" s="73"/>
      <c r="DS29" s="73"/>
      <c r="DT29" s="73"/>
      <c r="DU29" s="73"/>
      <c r="DV29" s="73"/>
      <c r="DW29" s="73"/>
      <c r="DX29" s="73"/>
      <c r="DY29" s="73"/>
      <c r="DZ29" s="73"/>
      <c r="EA29" s="73"/>
      <c r="EB29" s="73"/>
      <c r="EC29" s="73"/>
      <c r="ED29" s="73"/>
      <c r="EE29" s="73"/>
      <c r="EF29" s="73"/>
      <c r="EG29" s="73"/>
      <c r="EH29" s="73"/>
      <c r="EI29" s="73"/>
      <c r="EJ29" s="73"/>
      <c r="EK29" s="73"/>
      <c r="EL29" s="73"/>
      <c r="EM29" s="73"/>
      <c r="EN29" s="73"/>
      <c r="EO29" s="73"/>
      <c r="EP29" s="73"/>
      <c r="EQ29" s="73"/>
      <c r="ER29" s="73"/>
      <c r="ES29" s="73"/>
      <c r="ET29" s="73"/>
      <c r="EU29" s="73"/>
      <c r="EV29" s="73"/>
      <c r="EW29" s="73"/>
      <c r="EX29" s="73"/>
      <c r="EY29" s="73"/>
      <c r="EZ29" s="73"/>
      <c r="FA29" s="73"/>
      <c r="FB29" s="73"/>
      <c r="FC29" s="73"/>
      <c r="FD29" s="73"/>
      <c r="FE29" s="73"/>
      <c r="FF29" s="73"/>
      <c r="FG29" s="73"/>
      <c r="FH29" s="73"/>
      <c r="FI29" s="73"/>
      <c r="FJ29" s="73"/>
      <c r="FK29" s="73"/>
      <c r="FL29" s="73"/>
      <c r="FM29" s="73"/>
      <c r="FN29" s="73"/>
      <c r="FO29" s="73"/>
      <c r="FP29" s="73"/>
      <c r="FQ29" s="73"/>
      <c r="FR29" s="73"/>
      <c r="FS29" s="73"/>
      <c r="FT29" s="73"/>
      <c r="FU29" s="73"/>
      <c r="FV29" s="73"/>
      <c r="FW29" s="73"/>
      <c r="FX29" s="73"/>
      <c r="FY29" s="73"/>
      <c r="FZ29" s="73"/>
      <c r="GA29" s="73"/>
      <c r="GB29" s="73"/>
      <c r="GC29" s="73"/>
      <c r="GD29" s="73"/>
      <c r="GE29" s="73"/>
      <c r="GF29" s="73"/>
      <c r="GG29" s="73"/>
      <c r="GH29" s="73"/>
      <c r="GI29" s="73"/>
      <c r="GJ29" s="73"/>
      <c r="GK29" s="73"/>
      <c r="GL29" s="73"/>
      <c r="GM29" s="73"/>
      <c r="GN29" s="73"/>
      <c r="GO29" s="73"/>
      <c r="GP29" s="73"/>
      <c r="GQ29" s="73"/>
      <c r="GR29" s="73"/>
      <c r="GS29" s="73"/>
      <c r="GT29" s="73"/>
      <c r="GU29" s="73"/>
      <c r="GV29" s="73"/>
      <c r="GW29" s="73"/>
      <c r="GX29" s="73"/>
      <c r="GY29" s="73"/>
      <c r="GZ29" s="73"/>
      <c r="HA29" s="73"/>
      <c r="HB29" s="73"/>
      <c r="HC29" s="73"/>
      <c r="HD29" s="73"/>
      <c r="HE29" s="73"/>
      <c r="HF29" s="73"/>
      <c r="HG29" s="73"/>
      <c r="HH29" s="73"/>
      <c r="HI29" s="73"/>
      <c r="HJ29" s="73"/>
    </row>
    <row r="30" spans="1:218" s="3" customFormat="1" ht="30" customHeight="1" thickBot="1" x14ac:dyDescent="0.3">
      <c r="A30" s="36"/>
      <c r="B30" s="51" t="s">
        <v>66</v>
      </c>
      <c r="C30" s="47" t="s">
        <v>68</v>
      </c>
      <c r="D30" s="24"/>
      <c r="E30" s="67">
        <f>F26</f>
        <v>45425</v>
      </c>
      <c r="F30" s="67">
        <f>F31</f>
        <v>45450</v>
      </c>
      <c r="G30" s="75"/>
      <c r="H30" s="75">
        <f t="shared" si="42"/>
        <v>26</v>
      </c>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c r="CC30" s="73"/>
      <c r="CD30" s="73"/>
      <c r="CE30" s="73"/>
      <c r="CF30" s="73"/>
      <c r="CG30" s="73"/>
      <c r="CH30" s="73"/>
      <c r="CI30" s="73"/>
      <c r="CJ30" s="73"/>
      <c r="CK30" s="73"/>
      <c r="CL30" s="73"/>
      <c r="CM30" s="73"/>
      <c r="CN30" s="73"/>
      <c r="CO30" s="73"/>
      <c r="CP30" s="73"/>
      <c r="CQ30" s="73"/>
      <c r="CR30" s="73"/>
      <c r="CS30" s="73"/>
      <c r="CT30" s="73"/>
      <c r="CU30" s="73"/>
      <c r="CV30" s="73"/>
      <c r="CW30" s="73"/>
      <c r="CX30" s="73"/>
      <c r="CY30" s="73"/>
      <c r="CZ30" s="73"/>
      <c r="DA30" s="73"/>
      <c r="DB30" s="73"/>
      <c r="DC30" s="73"/>
      <c r="DD30" s="73"/>
      <c r="DE30" s="73"/>
      <c r="DF30" s="73"/>
      <c r="DG30" s="73"/>
      <c r="DH30" s="73"/>
      <c r="DI30" s="73"/>
      <c r="DJ30" s="73"/>
      <c r="DK30" s="73"/>
      <c r="DL30" s="73"/>
      <c r="DM30" s="73"/>
      <c r="DN30" s="73"/>
      <c r="DO30" s="73"/>
      <c r="DP30" s="73"/>
      <c r="DQ30" s="73"/>
      <c r="DR30" s="73"/>
      <c r="DS30" s="73"/>
      <c r="DT30" s="73"/>
      <c r="DU30" s="73"/>
      <c r="DV30" s="73"/>
      <c r="DW30" s="73"/>
      <c r="DX30" s="73"/>
      <c r="DY30" s="73"/>
      <c r="DZ30" s="73"/>
      <c r="EA30" s="73"/>
      <c r="EB30" s="73"/>
      <c r="EC30" s="73"/>
      <c r="ED30" s="73"/>
      <c r="EE30" s="73"/>
      <c r="EF30" s="73"/>
      <c r="EG30" s="73"/>
      <c r="EH30" s="73"/>
      <c r="EI30" s="73"/>
      <c r="EJ30" s="73"/>
      <c r="EK30" s="73"/>
      <c r="EL30" s="73"/>
      <c r="EM30" s="73"/>
      <c r="EN30" s="73"/>
      <c r="EO30" s="73"/>
      <c r="EP30" s="73"/>
      <c r="EQ30" s="73"/>
      <c r="ER30" s="73"/>
      <c r="ES30" s="73"/>
      <c r="ET30" s="73"/>
      <c r="EU30" s="73"/>
      <c r="EV30" s="73"/>
      <c r="EW30" s="73"/>
      <c r="EX30" s="73"/>
      <c r="EY30" s="73"/>
      <c r="EZ30" s="73"/>
      <c r="FA30" s="73"/>
      <c r="FB30" s="73"/>
      <c r="FC30" s="73"/>
      <c r="FD30" s="73"/>
      <c r="FE30" s="73"/>
      <c r="FF30" s="73"/>
      <c r="FG30" s="73"/>
      <c r="FH30" s="73"/>
      <c r="FI30" s="73"/>
      <c r="FJ30" s="73"/>
      <c r="FK30" s="73"/>
      <c r="FL30" s="73"/>
      <c r="FM30" s="73"/>
      <c r="FN30" s="73"/>
      <c r="FO30" s="73"/>
      <c r="FP30" s="73"/>
      <c r="FQ30" s="73"/>
      <c r="FR30" s="73"/>
      <c r="FS30" s="73"/>
      <c r="FT30" s="73"/>
      <c r="FU30" s="73"/>
      <c r="FV30" s="73"/>
      <c r="FW30" s="73"/>
      <c r="FX30" s="73"/>
      <c r="FY30" s="73"/>
      <c r="FZ30" s="73"/>
      <c r="GA30" s="73"/>
      <c r="GB30" s="73"/>
      <c r="GC30" s="73"/>
      <c r="GD30" s="73"/>
      <c r="GE30" s="73"/>
      <c r="GF30" s="73"/>
      <c r="GG30" s="73"/>
      <c r="GH30" s="73"/>
      <c r="GI30" s="73"/>
      <c r="GJ30" s="73"/>
      <c r="GK30" s="73"/>
      <c r="GL30" s="73"/>
      <c r="GM30" s="73"/>
      <c r="GN30" s="73"/>
      <c r="GO30" s="73"/>
      <c r="GP30" s="73"/>
      <c r="GQ30" s="73"/>
      <c r="GR30" s="73"/>
      <c r="GS30" s="73"/>
      <c r="GT30" s="73"/>
      <c r="GU30" s="73"/>
      <c r="GV30" s="73"/>
      <c r="GW30" s="73"/>
      <c r="GX30" s="73"/>
      <c r="GY30" s="73"/>
      <c r="GZ30" s="73"/>
      <c r="HA30" s="73"/>
      <c r="HB30" s="73"/>
      <c r="HC30" s="73"/>
      <c r="HD30" s="73"/>
      <c r="HE30" s="73"/>
      <c r="HF30" s="73"/>
      <c r="HG30" s="73"/>
      <c r="HH30" s="73"/>
      <c r="HI30" s="73"/>
      <c r="HJ30" s="73"/>
    </row>
    <row r="31" spans="1:218" s="3" customFormat="1" ht="30" customHeight="1" thickBot="1" x14ac:dyDescent="0.3">
      <c r="A31" s="36"/>
      <c r="B31" s="51" t="s">
        <v>67</v>
      </c>
      <c r="C31" s="47" t="s">
        <v>40</v>
      </c>
      <c r="D31" s="24"/>
      <c r="E31" s="67">
        <f>F26</f>
        <v>45425</v>
      </c>
      <c r="F31" s="67">
        <v>45450</v>
      </c>
      <c r="G31" s="75"/>
      <c r="H31" s="75">
        <f t="shared" si="42"/>
        <v>26</v>
      </c>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c r="CC31" s="73"/>
      <c r="CD31" s="73"/>
      <c r="CE31" s="73"/>
      <c r="CF31" s="73"/>
      <c r="CG31" s="73"/>
      <c r="CH31" s="73"/>
      <c r="CI31" s="73"/>
      <c r="CJ31" s="73"/>
      <c r="CK31" s="73"/>
      <c r="CL31" s="73"/>
      <c r="CM31" s="73"/>
      <c r="CN31" s="73"/>
      <c r="CO31" s="73"/>
      <c r="CP31" s="73"/>
      <c r="CQ31" s="73"/>
      <c r="CR31" s="73"/>
      <c r="CS31" s="73"/>
      <c r="CT31" s="73"/>
      <c r="CU31" s="73"/>
      <c r="CV31" s="73"/>
      <c r="CW31" s="73"/>
      <c r="CX31" s="73"/>
      <c r="CY31" s="73"/>
      <c r="CZ31" s="73"/>
      <c r="DA31" s="73"/>
      <c r="DB31" s="73"/>
      <c r="DC31" s="73"/>
      <c r="DD31" s="73"/>
      <c r="DE31" s="73"/>
      <c r="DF31" s="73"/>
      <c r="DG31" s="73"/>
      <c r="DH31" s="73"/>
      <c r="DI31" s="73"/>
      <c r="DJ31" s="73"/>
      <c r="DK31" s="73"/>
      <c r="DL31" s="73"/>
      <c r="DM31" s="73"/>
      <c r="DN31" s="73"/>
      <c r="DO31" s="73"/>
      <c r="DP31" s="73"/>
      <c r="DQ31" s="73"/>
      <c r="DR31" s="73"/>
      <c r="DS31" s="73"/>
      <c r="DT31" s="73"/>
      <c r="DU31" s="73"/>
      <c r="DV31" s="73"/>
      <c r="DW31" s="73"/>
      <c r="DX31" s="73"/>
      <c r="DY31" s="73"/>
      <c r="DZ31" s="73"/>
      <c r="EA31" s="73"/>
      <c r="EB31" s="73"/>
      <c r="EC31" s="73"/>
      <c r="ED31" s="73"/>
      <c r="EE31" s="73"/>
      <c r="EF31" s="73"/>
      <c r="EG31" s="73"/>
      <c r="EH31" s="73"/>
      <c r="EI31" s="73"/>
      <c r="EJ31" s="73"/>
      <c r="EK31" s="73"/>
      <c r="EL31" s="73"/>
      <c r="EM31" s="73"/>
      <c r="EN31" s="73"/>
      <c r="EO31" s="73"/>
      <c r="EP31" s="73"/>
      <c r="EQ31" s="73"/>
      <c r="ER31" s="73"/>
      <c r="ES31" s="73"/>
      <c r="ET31" s="73"/>
      <c r="EU31" s="73"/>
      <c r="EV31" s="73"/>
      <c r="EW31" s="73"/>
      <c r="EX31" s="73"/>
      <c r="EY31" s="73"/>
      <c r="EZ31" s="73"/>
      <c r="FA31" s="73"/>
      <c r="FB31" s="73"/>
      <c r="FC31" s="73"/>
      <c r="FD31" s="73"/>
      <c r="FE31" s="73"/>
      <c r="FF31" s="73"/>
      <c r="FG31" s="73"/>
      <c r="FH31" s="73"/>
      <c r="FI31" s="73"/>
      <c r="FJ31" s="73"/>
      <c r="FK31" s="73"/>
      <c r="FL31" s="73"/>
      <c r="FM31" s="73"/>
      <c r="FN31" s="73"/>
      <c r="FO31" s="73"/>
      <c r="FP31" s="73"/>
      <c r="FQ31" s="73"/>
      <c r="FR31" s="73"/>
      <c r="FS31" s="73"/>
      <c r="FT31" s="73"/>
      <c r="FU31" s="73"/>
      <c r="FV31" s="73"/>
      <c r="FW31" s="73"/>
      <c r="FX31" s="73"/>
      <c r="FY31" s="73"/>
      <c r="FZ31" s="73"/>
      <c r="GA31" s="73"/>
      <c r="GB31" s="73"/>
      <c r="GC31" s="73"/>
      <c r="GD31" s="73"/>
      <c r="GE31" s="73"/>
      <c r="GF31" s="73"/>
      <c r="GG31" s="73"/>
      <c r="GH31" s="73"/>
      <c r="GI31" s="73"/>
      <c r="GJ31" s="73"/>
      <c r="GK31" s="73"/>
      <c r="GL31" s="73"/>
      <c r="GM31" s="73"/>
      <c r="GN31" s="73"/>
      <c r="GO31" s="73"/>
      <c r="GP31" s="73"/>
      <c r="GQ31" s="73"/>
      <c r="GR31" s="73"/>
      <c r="GS31" s="73"/>
      <c r="GT31" s="73"/>
      <c r="GU31" s="73"/>
      <c r="GV31" s="73"/>
      <c r="GW31" s="73"/>
      <c r="GX31" s="73"/>
      <c r="GY31" s="73"/>
      <c r="GZ31" s="73"/>
      <c r="HA31" s="73"/>
      <c r="HB31" s="73"/>
      <c r="HC31" s="73"/>
      <c r="HD31" s="73"/>
      <c r="HE31" s="73"/>
      <c r="HF31" s="73"/>
      <c r="HG31" s="73"/>
      <c r="HH31" s="73"/>
      <c r="HI31" s="73"/>
      <c r="HJ31" s="73"/>
    </row>
    <row r="32" spans="1:218" ht="30" customHeight="1" x14ac:dyDescent="0.25">
      <c r="G32" s="6"/>
    </row>
    <row r="33" spans="3:6" ht="30" customHeight="1" x14ac:dyDescent="0.25">
      <c r="C33" s="11"/>
      <c r="F33" s="38"/>
    </row>
    <row r="34" spans="3:6" ht="30" customHeight="1" x14ac:dyDescent="0.25">
      <c r="C34" s="12"/>
    </row>
  </sheetData>
  <mergeCells count="33">
    <mergeCell ref="BF5:BL5"/>
    <mergeCell ref="E4:F4"/>
    <mergeCell ref="I5:O5"/>
    <mergeCell ref="P5:V5"/>
    <mergeCell ref="W5:AC5"/>
    <mergeCell ref="AD5:AJ5"/>
    <mergeCell ref="C4:D4"/>
    <mergeCell ref="C5:D5"/>
    <mergeCell ref="AK5:AQ5"/>
    <mergeCell ref="AR5:AX5"/>
    <mergeCell ref="AY5:BE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FG5:FM5"/>
    <mergeCell ref="GW5:HC5"/>
    <mergeCell ref="HD5:HJ5"/>
    <mergeCell ref="FN5:FT5"/>
    <mergeCell ref="FU5:GA5"/>
    <mergeCell ref="GB5:GH5"/>
    <mergeCell ref="GI5:GO5"/>
    <mergeCell ref="GP5:GV5"/>
  </mergeCells>
  <conditionalFormatting sqref="D8:D31">
    <cfRule type="dataBar" priority="15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6:HJ31 BM6:BX7">
    <cfRule type="expression" dxfId="144" priority="176">
      <formula>AND(TODAY()&gt;=I$6,TODAY()&lt;J$6)</formula>
    </cfRule>
  </conditionalFormatting>
  <conditionalFormatting sqref="BY6:BY7">
    <cfRule type="expression" dxfId="143" priority="143">
      <formula>AND(TODAY()&gt;=BY$6,TODAY()&lt;BZ$6)</formula>
    </cfRule>
  </conditionalFormatting>
  <conditionalFormatting sqref="BZ6:BZ7">
    <cfRule type="expression" dxfId="142" priority="142">
      <formula>AND(TODAY()&gt;=BZ$6,TODAY()&lt;CA$6)</formula>
    </cfRule>
  </conditionalFormatting>
  <conditionalFormatting sqref="CA6:CA7">
    <cfRule type="expression" dxfId="141" priority="141">
      <formula>AND(TODAY()&gt;=CA$6,TODAY()&lt;CB$6)</formula>
    </cfRule>
  </conditionalFormatting>
  <conditionalFormatting sqref="CB6:CB7">
    <cfRule type="expression" dxfId="140" priority="140">
      <formula>AND(TODAY()&gt;=CB$6,TODAY()&lt;CC$6)</formula>
    </cfRule>
  </conditionalFormatting>
  <conditionalFormatting sqref="CC6:CC7">
    <cfRule type="expression" dxfId="139" priority="139">
      <formula>AND(TODAY()&gt;=CC$6,TODAY()&lt;CD$6)</formula>
    </cfRule>
  </conditionalFormatting>
  <conditionalFormatting sqref="CD6:CD7">
    <cfRule type="expression" dxfId="138" priority="138">
      <formula>AND(TODAY()&gt;=CD$6,TODAY()&lt;CE$6)</formula>
    </cfRule>
  </conditionalFormatting>
  <conditionalFormatting sqref="CE6:CE7">
    <cfRule type="expression" dxfId="137" priority="137">
      <formula>AND(TODAY()&gt;=CE$6,TODAY()&lt;CF$6)</formula>
    </cfRule>
  </conditionalFormatting>
  <conditionalFormatting sqref="CF6:CF7">
    <cfRule type="expression" dxfId="136" priority="136">
      <formula>AND(TODAY()&gt;=CF$6,TODAY()&lt;CG$6)</formula>
    </cfRule>
  </conditionalFormatting>
  <conditionalFormatting sqref="CG6:CG7">
    <cfRule type="expression" dxfId="135" priority="135">
      <formula>AND(TODAY()&gt;=CG$6,TODAY()&lt;CH$6)</formula>
    </cfRule>
  </conditionalFormatting>
  <conditionalFormatting sqref="CH6:CH7">
    <cfRule type="expression" dxfId="134" priority="134">
      <formula>AND(TODAY()&gt;=CH$6,TODAY()&lt;CI$6)</formula>
    </cfRule>
  </conditionalFormatting>
  <conditionalFormatting sqref="CI6:CI7">
    <cfRule type="expression" dxfId="133" priority="133">
      <formula>AND(TODAY()&gt;=CI$6,TODAY()&lt;CJ$6)</formula>
    </cfRule>
  </conditionalFormatting>
  <conditionalFormatting sqref="CJ6:CJ7">
    <cfRule type="expression" dxfId="132" priority="132">
      <formula>AND(TODAY()&gt;=CJ$6,TODAY()&lt;CK$6)</formula>
    </cfRule>
  </conditionalFormatting>
  <conditionalFormatting sqref="CK6:CK7">
    <cfRule type="expression" dxfId="131" priority="131">
      <formula>AND(TODAY()&gt;=CK$6,TODAY()&lt;CL$6)</formula>
    </cfRule>
  </conditionalFormatting>
  <conditionalFormatting sqref="CL6:CL7">
    <cfRule type="expression" dxfId="130" priority="130">
      <formula>AND(TODAY()&gt;=CL$6,TODAY()&lt;CM$6)</formula>
    </cfRule>
  </conditionalFormatting>
  <conditionalFormatting sqref="CM6:CM7">
    <cfRule type="expression" dxfId="129" priority="129">
      <formula>AND(TODAY()&gt;=CM$6,TODAY()&lt;CN$6)</formula>
    </cfRule>
  </conditionalFormatting>
  <conditionalFormatting sqref="CN6:CN7">
    <cfRule type="expression" dxfId="128" priority="128">
      <formula>AND(TODAY()&gt;=CN$6,TODAY()&lt;CO$6)</formula>
    </cfRule>
  </conditionalFormatting>
  <conditionalFormatting sqref="CO6:CO7">
    <cfRule type="expression" dxfId="127" priority="127">
      <formula>AND(TODAY()&gt;=CO$6,TODAY()&lt;CP$6)</formula>
    </cfRule>
  </conditionalFormatting>
  <conditionalFormatting sqref="CP6:CP7">
    <cfRule type="expression" dxfId="126" priority="126">
      <formula>AND(TODAY()&gt;=CP$6,TODAY()&lt;CQ$6)</formula>
    </cfRule>
  </conditionalFormatting>
  <conditionalFormatting sqref="CQ6:CQ7">
    <cfRule type="expression" dxfId="125" priority="125">
      <formula>AND(TODAY()&gt;=CQ$6,TODAY()&lt;CR$6)</formula>
    </cfRule>
  </conditionalFormatting>
  <conditionalFormatting sqref="CR6:CR7">
    <cfRule type="expression" dxfId="124" priority="124">
      <formula>AND(TODAY()&gt;=CR$6,TODAY()&lt;CS$6)</formula>
    </cfRule>
  </conditionalFormatting>
  <conditionalFormatting sqref="CS6:CS7">
    <cfRule type="expression" dxfId="123" priority="123">
      <formula>AND(TODAY()&gt;=CS$6,TODAY()&lt;CT$6)</formula>
    </cfRule>
  </conditionalFormatting>
  <conditionalFormatting sqref="CT6:CT7">
    <cfRule type="expression" dxfId="122" priority="122">
      <formula>AND(TODAY()&gt;=CT$6,TODAY()&lt;CU$6)</formula>
    </cfRule>
  </conditionalFormatting>
  <conditionalFormatting sqref="CU6:CU7">
    <cfRule type="expression" dxfId="121" priority="121">
      <formula>AND(TODAY()&gt;=CU$6,TODAY()&lt;CV$6)</formula>
    </cfRule>
  </conditionalFormatting>
  <conditionalFormatting sqref="CV6:CV7">
    <cfRule type="expression" dxfId="120" priority="120">
      <formula>AND(TODAY()&gt;=CV$6,TODAY()&lt;CW$6)</formula>
    </cfRule>
  </conditionalFormatting>
  <conditionalFormatting sqref="CW6:CW7">
    <cfRule type="expression" dxfId="119" priority="119">
      <formula>AND(TODAY()&gt;=CW$6,TODAY()&lt;CX$6)</formula>
    </cfRule>
  </conditionalFormatting>
  <conditionalFormatting sqref="CX6:CX7">
    <cfRule type="expression" dxfId="118" priority="118">
      <formula>AND(TODAY()&gt;=CX$6,TODAY()&lt;CY$6)</formula>
    </cfRule>
  </conditionalFormatting>
  <conditionalFormatting sqref="CY6:CY7">
    <cfRule type="expression" dxfId="117" priority="117">
      <formula>AND(TODAY()&gt;=CY$6,TODAY()&lt;CZ$6)</formula>
    </cfRule>
  </conditionalFormatting>
  <conditionalFormatting sqref="CZ6:CZ7">
    <cfRule type="expression" dxfId="116" priority="116">
      <formula>AND(TODAY()&gt;=CZ$6,TODAY()&lt;DA$6)</formula>
    </cfRule>
  </conditionalFormatting>
  <conditionalFormatting sqref="DA6:DA7">
    <cfRule type="expression" dxfId="115" priority="115">
      <formula>AND(TODAY()&gt;=DA$6,TODAY()&lt;DB$6)</formula>
    </cfRule>
  </conditionalFormatting>
  <conditionalFormatting sqref="DB6:DB7">
    <cfRule type="expression" dxfId="114" priority="114">
      <formula>AND(TODAY()&gt;=DB$6,TODAY()&lt;DC$6)</formula>
    </cfRule>
  </conditionalFormatting>
  <conditionalFormatting sqref="DC6:DC7">
    <cfRule type="expression" dxfId="113" priority="113">
      <formula>AND(TODAY()&gt;=DC$6,TODAY()&lt;DD$6)</formula>
    </cfRule>
  </conditionalFormatting>
  <conditionalFormatting sqref="DD6:DD7">
    <cfRule type="expression" dxfId="112" priority="112">
      <formula>AND(TODAY()&gt;=DD$6,TODAY()&lt;DE$6)</formula>
    </cfRule>
  </conditionalFormatting>
  <conditionalFormatting sqref="DE6:DE7">
    <cfRule type="expression" dxfId="111" priority="111">
      <formula>AND(TODAY()&gt;=DE$6,TODAY()&lt;DF$6)</formula>
    </cfRule>
  </conditionalFormatting>
  <conditionalFormatting sqref="DF6:DF7">
    <cfRule type="expression" dxfId="110" priority="110">
      <formula>AND(TODAY()&gt;=DF$6,TODAY()&lt;DG$6)</formula>
    </cfRule>
  </conditionalFormatting>
  <conditionalFormatting sqref="DG6:DG7">
    <cfRule type="expression" dxfId="109" priority="109">
      <formula>AND(TODAY()&gt;=DG$6,TODAY()&lt;DH$6)</formula>
    </cfRule>
  </conditionalFormatting>
  <conditionalFormatting sqref="DH6:DH7">
    <cfRule type="expression" dxfId="108" priority="108">
      <formula>AND(TODAY()&gt;=DH$6,TODAY()&lt;DI$6)</formula>
    </cfRule>
  </conditionalFormatting>
  <conditionalFormatting sqref="DI6:DI7">
    <cfRule type="expression" dxfId="107" priority="107">
      <formula>AND(TODAY()&gt;=DI$6,TODAY()&lt;DJ$6)</formula>
    </cfRule>
  </conditionalFormatting>
  <conditionalFormatting sqref="DJ6:DJ7">
    <cfRule type="expression" dxfId="106" priority="106">
      <formula>AND(TODAY()&gt;=DJ$6,TODAY()&lt;DK$6)</formula>
    </cfRule>
  </conditionalFormatting>
  <conditionalFormatting sqref="DK6:DK7">
    <cfRule type="expression" dxfId="105" priority="105">
      <formula>AND(TODAY()&gt;=DK$6,TODAY()&lt;DL$6)</formula>
    </cfRule>
  </conditionalFormatting>
  <conditionalFormatting sqref="DL6:DL7">
    <cfRule type="expression" dxfId="104" priority="104">
      <formula>AND(TODAY()&gt;=DL$6,TODAY()&lt;DM$6)</formula>
    </cfRule>
  </conditionalFormatting>
  <conditionalFormatting sqref="DM6:DM7">
    <cfRule type="expression" dxfId="103" priority="103">
      <formula>AND(TODAY()&gt;=DM$6,TODAY()&lt;DN$6)</formula>
    </cfRule>
  </conditionalFormatting>
  <conditionalFormatting sqref="DN6:DN7">
    <cfRule type="expression" dxfId="102" priority="102">
      <formula>AND(TODAY()&gt;=DN$6,TODAY()&lt;DO$6)</formula>
    </cfRule>
  </conditionalFormatting>
  <conditionalFormatting sqref="DO6:DO7">
    <cfRule type="expression" dxfId="101" priority="101">
      <formula>AND(TODAY()&gt;=DO$6,TODAY()&lt;DP$6)</formula>
    </cfRule>
  </conditionalFormatting>
  <conditionalFormatting sqref="DP6:DP7">
    <cfRule type="expression" dxfId="100" priority="100">
      <formula>AND(TODAY()&gt;=DP$6,TODAY()&lt;DQ$6)</formula>
    </cfRule>
  </conditionalFormatting>
  <conditionalFormatting sqref="DQ6:DQ7">
    <cfRule type="expression" dxfId="99" priority="99">
      <formula>AND(TODAY()&gt;=DQ$6,TODAY()&lt;DR$6)</formula>
    </cfRule>
  </conditionalFormatting>
  <conditionalFormatting sqref="DR6:DR7">
    <cfRule type="expression" dxfId="98" priority="98">
      <formula>AND(TODAY()&gt;=DR$6,TODAY()&lt;DS$6)</formula>
    </cfRule>
  </conditionalFormatting>
  <conditionalFormatting sqref="DS6:DS7">
    <cfRule type="expression" dxfId="97" priority="97">
      <formula>AND(TODAY()&gt;=DS$6,TODAY()&lt;DT$6)</formula>
    </cfRule>
  </conditionalFormatting>
  <conditionalFormatting sqref="DT6:DT7">
    <cfRule type="expression" dxfId="96" priority="96">
      <formula>AND(TODAY()&gt;=DT$6,TODAY()&lt;DU$6)</formula>
    </cfRule>
  </conditionalFormatting>
  <conditionalFormatting sqref="DU6:DU7">
    <cfRule type="expression" dxfId="95" priority="95">
      <formula>AND(TODAY()&gt;=DU$6,TODAY()&lt;DV$6)</formula>
    </cfRule>
  </conditionalFormatting>
  <conditionalFormatting sqref="DV6:DV7">
    <cfRule type="expression" dxfId="94" priority="94">
      <formula>AND(TODAY()&gt;=DV$6,TODAY()&lt;DW$6)</formula>
    </cfRule>
  </conditionalFormatting>
  <conditionalFormatting sqref="DW6:DW7">
    <cfRule type="expression" dxfId="93" priority="93">
      <formula>AND(TODAY()&gt;=DW$6,TODAY()&lt;DX$6)</formula>
    </cfRule>
  </conditionalFormatting>
  <conditionalFormatting sqref="DX6:DX7">
    <cfRule type="expression" dxfId="92" priority="92">
      <formula>AND(TODAY()&gt;=DX$6,TODAY()&lt;DY$6)</formula>
    </cfRule>
  </conditionalFormatting>
  <conditionalFormatting sqref="DY6:DY7">
    <cfRule type="expression" dxfId="91" priority="91">
      <formula>AND(TODAY()&gt;=DY$6,TODAY()&lt;DZ$6)</formula>
    </cfRule>
  </conditionalFormatting>
  <conditionalFormatting sqref="DZ6:DZ7">
    <cfRule type="expression" dxfId="90" priority="90">
      <formula>AND(TODAY()&gt;=DZ$6,TODAY()&lt;EA$6)</formula>
    </cfRule>
  </conditionalFormatting>
  <conditionalFormatting sqref="EA6:EA7">
    <cfRule type="expression" dxfId="89" priority="89">
      <formula>AND(TODAY()&gt;=EA$6,TODAY()&lt;EB$6)</formula>
    </cfRule>
  </conditionalFormatting>
  <conditionalFormatting sqref="EB6:EB7">
    <cfRule type="expression" dxfId="88" priority="88">
      <formula>AND(TODAY()&gt;=EB$6,TODAY()&lt;EC$6)</formula>
    </cfRule>
  </conditionalFormatting>
  <conditionalFormatting sqref="EC6:EC7">
    <cfRule type="expression" dxfId="87" priority="87">
      <formula>AND(TODAY()&gt;=EC$6,TODAY()&lt;ED$6)</formula>
    </cfRule>
  </conditionalFormatting>
  <conditionalFormatting sqref="ED6:ED7">
    <cfRule type="expression" dxfId="86" priority="86">
      <formula>AND(TODAY()&gt;=ED$6,TODAY()&lt;EE$6)</formula>
    </cfRule>
  </conditionalFormatting>
  <conditionalFormatting sqref="EE6:EE7">
    <cfRule type="expression" dxfId="85" priority="85">
      <formula>AND(TODAY()&gt;=EE$6,TODAY()&lt;EF$6)</formula>
    </cfRule>
  </conditionalFormatting>
  <conditionalFormatting sqref="EF6:EF7">
    <cfRule type="expression" dxfId="84" priority="84">
      <formula>AND(TODAY()&gt;=EF$6,TODAY()&lt;EG$6)</formula>
    </cfRule>
  </conditionalFormatting>
  <conditionalFormatting sqref="EG6:EG7">
    <cfRule type="expression" dxfId="83" priority="83">
      <formula>AND(TODAY()&gt;=EG$6,TODAY()&lt;EH$6)</formula>
    </cfRule>
  </conditionalFormatting>
  <conditionalFormatting sqref="EH6:EH7">
    <cfRule type="expression" dxfId="82" priority="82">
      <formula>AND(TODAY()&gt;=EH$6,TODAY()&lt;EI$6)</formula>
    </cfRule>
  </conditionalFormatting>
  <conditionalFormatting sqref="EI6:EI7">
    <cfRule type="expression" dxfId="81" priority="81">
      <formula>AND(TODAY()&gt;=EI$6,TODAY()&lt;EJ$6)</formula>
    </cfRule>
  </conditionalFormatting>
  <conditionalFormatting sqref="EJ6:EJ7">
    <cfRule type="expression" dxfId="80" priority="80">
      <formula>AND(TODAY()&gt;=EJ$6,TODAY()&lt;EK$6)</formula>
    </cfRule>
  </conditionalFormatting>
  <conditionalFormatting sqref="EK6:EK7">
    <cfRule type="expression" dxfId="79" priority="79">
      <formula>AND(TODAY()&gt;=EK$6,TODAY()&lt;EL$6)</formula>
    </cfRule>
  </conditionalFormatting>
  <conditionalFormatting sqref="EL6:EL7">
    <cfRule type="expression" dxfId="78" priority="78">
      <formula>AND(TODAY()&gt;=EL$6,TODAY()&lt;EM$6)</formula>
    </cfRule>
  </conditionalFormatting>
  <conditionalFormatting sqref="EM6:EM7">
    <cfRule type="expression" dxfId="77" priority="77">
      <formula>AND(TODAY()&gt;=EM$6,TODAY()&lt;EN$6)</formula>
    </cfRule>
  </conditionalFormatting>
  <conditionalFormatting sqref="EN6:EN7">
    <cfRule type="expression" dxfId="76" priority="76">
      <formula>AND(TODAY()&gt;=EN$6,TODAY()&lt;EO$6)</formula>
    </cfRule>
  </conditionalFormatting>
  <conditionalFormatting sqref="EO6:EO7">
    <cfRule type="expression" dxfId="75" priority="75">
      <formula>AND(TODAY()&gt;=EO$6,TODAY()&lt;EP$6)</formula>
    </cfRule>
  </conditionalFormatting>
  <conditionalFormatting sqref="EP6:EP7">
    <cfRule type="expression" dxfId="74" priority="74">
      <formula>AND(TODAY()&gt;=EP$6,TODAY()&lt;EQ$6)</formula>
    </cfRule>
  </conditionalFormatting>
  <conditionalFormatting sqref="EQ6:EQ7">
    <cfRule type="expression" dxfId="73" priority="73">
      <formula>AND(TODAY()&gt;=EQ$6,TODAY()&lt;ER$6)</formula>
    </cfRule>
  </conditionalFormatting>
  <conditionalFormatting sqref="ER6:ER7">
    <cfRule type="expression" dxfId="72" priority="72">
      <formula>AND(TODAY()&gt;=ER$6,TODAY()&lt;ES$6)</formula>
    </cfRule>
  </conditionalFormatting>
  <conditionalFormatting sqref="ES6:ES7">
    <cfRule type="expression" dxfId="71" priority="71">
      <formula>AND(TODAY()&gt;=ES$6,TODAY()&lt;ET$6)</formula>
    </cfRule>
  </conditionalFormatting>
  <conditionalFormatting sqref="ET6:ET7">
    <cfRule type="expression" dxfId="70" priority="70">
      <formula>AND(TODAY()&gt;=ET$6,TODAY()&lt;EU$6)</formula>
    </cfRule>
  </conditionalFormatting>
  <conditionalFormatting sqref="EU6:EU7">
    <cfRule type="expression" dxfId="69" priority="69">
      <formula>AND(TODAY()&gt;=EU$6,TODAY()&lt;EV$6)</formula>
    </cfRule>
  </conditionalFormatting>
  <conditionalFormatting sqref="EV6:EV7">
    <cfRule type="expression" dxfId="68" priority="68">
      <formula>AND(TODAY()&gt;=EV$6,TODAY()&lt;EW$6)</formula>
    </cfRule>
  </conditionalFormatting>
  <conditionalFormatting sqref="EW6:EW7">
    <cfRule type="expression" dxfId="67" priority="67">
      <formula>AND(TODAY()&gt;=EW$6,TODAY()&lt;EX$6)</formula>
    </cfRule>
  </conditionalFormatting>
  <conditionalFormatting sqref="EX6:EX7">
    <cfRule type="expression" dxfId="66" priority="66">
      <formula>AND(TODAY()&gt;=EX$6,TODAY()&lt;EY$6)</formula>
    </cfRule>
  </conditionalFormatting>
  <conditionalFormatting sqref="EY6:EY7">
    <cfRule type="expression" dxfId="65" priority="65">
      <formula>AND(TODAY()&gt;=EY$6,TODAY()&lt;EZ$6)</formula>
    </cfRule>
  </conditionalFormatting>
  <conditionalFormatting sqref="EZ6:EZ7">
    <cfRule type="expression" dxfId="64" priority="64">
      <formula>AND(TODAY()&gt;=EZ$6,TODAY()&lt;FA$6)</formula>
    </cfRule>
  </conditionalFormatting>
  <conditionalFormatting sqref="FA6:FA7">
    <cfRule type="expression" dxfId="63" priority="63">
      <formula>AND(TODAY()&gt;=FA$6,TODAY()&lt;FB$6)</formula>
    </cfRule>
  </conditionalFormatting>
  <conditionalFormatting sqref="FB6:FB7">
    <cfRule type="expression" dxfId="62" priority="62">
      <formula>AND(TODAY()&gt;=FB$6,TODAY()&lt;FC$6)</formula>
    </cfRule>
  </conditionalFormatting>
  <conditionalFormatting sqref="FC6:FC7">
    <cfRule type="expression" dxfId="61" priority="61">
      <formula>AND(TODAY()&gt;=FC$6,TODAY()&lt;FD$6)</formula>
    </cfRule>
  </conditionalFormatting>
  <conditionalFormatting sqref="FD6:FD7">
    <cfRule type="expression" dxfId="60" priority="60">
      <formula>AND(TODAY()&gt;=FD$6,TODAY()&lt;FE$6)</formula>
    </cfRule>
  </conditionalFormatting>
  <conditionalFormatting sqref="FE6:FE7">
    <cfRule type="expression" dxfId="59" priority="59">
      <formula>AND(TODAY()&gt;=FE$6,TODAY()&lt;FF$6)</formula>
    </cfRule>
  </conditionalFormatting>
  <conditionalFormatting sqref="FF6:FF7">
    <cfRule type="expression" dxfId="58" priority="58">
      <formula>AND(TODAY()&gt;=FF$6,TODAY()&lt;FG$6)</formula>
    </cfRule>
  </conditionalFormatting>
  <conditionalFormatting sqref="FG6:FG7">
    <cfRule type="expression" dxfId="57" priority="57">
      <formula>AND(TODAY()&gt;=FG$6,TODAY()&lt;FH$6)</formula>
    </cfRule>
  </conditionalFormatting>
  <conditionalFormatting sqref="FH6:FH7">
    <cfRule type="expression" dxfId="56" priority="56">
      <formula>AND(TODAY()&gt;=FH$6,TODAY()&lt;FI$6)</formula>
    </cfRule>
  </conditionalFormatting>
  <conditionalFormatting sqref="FI6:FI7">
    <cfRule type="expression" dxfId="55" priority="55">
      <formula>AND(TODAY()&gt;=FI$6,TODAY()&lt;FJ$6)</formula>
    </cfRule>
  </conditionalFormatting>
  <conditionalFormatting sqref="FJ6:FJ7">
    <cfRule type="expression" dxfId="54" priority="54">
      <formula>AND(TODAY()&gt;=FJ$6,TODAY()&lt;FK$6)</formula>
    </cfRule>
  </conditionalFormatting>
  <conditionalFormatting sqref="FK6:FK7">
    <cfRule type="expression" dxfId="53" priority="53">
      <formula>AND(TODAY()&gt;=FK$6,TODAY()&lt;FL$6)</formula>
    </cfRule>
  </conditionalFormatting>
  <conditionalFormatting sqref="FL6:FL7">
    <cfRule type="expression" dxfId="52" priority="52">
      <formula>AND(TODAY()&gt;=FL$6,TODAY()&lt;FM$6)</formula>
    </cfRule>
  </conditionalFormatting>
  <conditionalFormatting sqref="FM6:FM7">
    <cfRule type="expression" dxfId="51" priority="51">
      <formula>AND(TODAY()&gt;=FM$6,TODAY()&lt;FN$6)</formula>
    </cfRule>
  </conditionalFormatting>
  <conditionalFormatting sqref="FN6:FN7">
    <cfRule type="expression" dxfId="50" priority="50">
      <formula>AND(TODAY()&gt;=FN$6,TODAY()&lt;FO$6)</formula>
    </cfRule>
  </conditionalFormatting>
  <conditionalFormatting sqref="FO6:FO7">
    <cfRule type="expression" dxfId="49" priority="49">
      <formula>AND(TODAY()&gt;=FO$6,TODAY()&lt;FP$6)</formula>
    </cfRule>
  </conditionalFormatting>
  <conditionalFormatting sqref="FP6:FP7">
    <cfRule type="expression" dxfId="48" priority="48">
      <formula>AND(TODAY()&gt;=FP$6,TODAY()&lt;FQ$6)</formula>
    </cfRule>
  </conditionalFormatting>
  <conditionalFormatting sqref="FQ6:FQ7">
    <cfRule type="expression" dxfId="47" priority="47">
      <formula>AND(TODAY()&gt;=FQ$6,TODAY()&lt;FR$6)</formula>
    </cfRule>
  </conditionalFormatting>
  <conditionalFormatting sqref="FR6:FR7">
    <cfRule type="expression" dxfId="46" priority="46">
      <formula>AND(TODAY()&gt;=FR$6,TODAY()&lt;FS$6)</formula>
    </cfRule>
  </conditionalFormatting>
  <conditionalFormatting sqref="FS6:FS7">
    <cfRule type="expression" dxfId="45" priority="45">
      <formula>AND(TODAY()&gt;=FS$6,TODAY()&lt;FT$6)</formula>
    </cfRule>
  </conditionalFormatting>
  <conditionalFormatting sqref="FT6:FT7">
    <cfRule type="expression" dxfId="44" priority="44">
      <formula>AND(TODAY()&gt;=FT$6,TODAY()&lt;FU$6)</formula>
    </cfRule>
  </conditionalFormatting>
  <conditionalFormatting sqref="FU6:FU7">
    <cfRule type="expression" dxfId="43" priority="43">
      <formula>AND(TODAY()&gt;=FU$6,TODAY()&lt;FV$6)</formula>
    </cfRule>
  </conditionalFormatting>
  <conditionalFormatting sqref="FV6:FV7">
    <cfRule type="expression" dxfId="42" priority="42">
      <formula>AND(TODAY()&gt;=FV$6,TODAY()&lt;FW$6)</formula>
    </cfRule>
  </conditionalFormatting>
  <conditionalFormatting sqref="FW6:FW7">
    <cfRule type="expression" dxfId="41" priority="41">
      <formula>AND(TODAY()&gt;=FW$6,TODAY()&lt;FX$6)</formula>
    </cfRule>
  </conditionalFormatting>
  <conditionalFormatting sqref="FX6:FX7">
    <cfRule type="expression" dxfId="40" priority="40">
      <formula>AND(TODAY()&gt;=FX$6,TODAY()&lt;FY$6)</formula>
    </cfRule>
  </conditionalFormatting>
  <conditionalFormatting sqref="FY6:FY7">
    <cfRule type="expression" dxfId="39" priority="39">
      <formula>AND(TODAY()&gt;=FY$6,TODAY()&lt;FZ$6)</formula>
    </cfRule>
  </conditionalFormatting>
  <conditionalFormatting sqref="FZ6:FZ7">
    <cfRule type="expression" dxfId="38" priority="38">
      <formula>AND(TODAY()&gt;=FZ$6,TODAY()&lt;GA$6)</formula>
    </cfRule>
  </conditionalFormatting>
  <conditionalFormatting sqref="GA6:GA7">
    <cfRule type="expression" dxfId="37" priority="37">
      <formula>AND(TODAY()&gt;=GA$6,TODAY()&lt;GB$6)</formula>
    </cfRule>
  </conditionalFormatting>
  <conditionalFormatting sqref="GB6:GB7">
    <cfRule type="expression" dxfId="36" priority="36">
      <formula>AND(TODAY()&gt;=GB$6,TODAY()&lt;GC$6)</formula>
    </cfRule>
  </conditionalFormatting>
  <conditionalFormatting sqref="GC6:GC7">
    <cfRule type="expression" dxfId="35" priority="35">
      <formula>AND(TODAY()&gt;=GC$6,TODAY()&lt;GD$6)</formula>
    </cfRule>
  </conditionalFormatting>
  <conditionalFormatting sqref="GD6:GD7">
    <cfRule type="expression" dxfId="34" priority="34">
      <formula>AND(TODAY()&gt;=GD$6,TODAY()&lt;GE$6)</formula>
    </cfRule>
  </conditionalFormatting>
  <conditionalFormatting sqref="GE6:GE7">
    <cfRule type="expression" dxfId="33" priority="33">
      <formula>AND(TODAY()&gt;=GE$6,TODAY()&lt;GF$6)</formula>
    </cfRule>
  </conditionalFormatting>
  <conditionalFormatting sqref="GF6:GF7">
    <cfRule type="expression" dxfId="32" priority="31">
      <formula>AND(TODAY()&gt;=GF$6,TODAY()&lt;GG$6)</formula>
    </cfRule>
  </conditionalFormatting>
  <conditionalFormatting sqref="GG6:GG7">
    <cfRule type="expression" dxfId="31" priority="30">
      <formula>AND(TODAY()&gt;=GG$6,TODAY()&lt;GH$6)</formula>
    </cfRule>
  </conditionalFormatting>
  <conditionalFormatting sqref="GH6:GH7">
    <cfRule type="expression" dxfId="30" priority="29">
      <formula>AND(TODAY()&gt;=GH$6,TODAY()&lt;GI$6)</formula>
    </cfRule>
  </conditionalFormatting>
  <conditionalFormatting sqref="GI6:GI7">
    <cfRule type="expression" dxfId="29" priority="28">
      <formula>AND(TODAY()&gt;=GI$6,TODAY()&lt;GJ$6)</formula>
    </cfRule>
  </conditionalFormatting>
  <conditionalFormatting sqref="GJ6:GJ7">
    <cfRule type="expression" dxfId="28" priority="27">
      <formula>AND(TODAY()&gt;=GJ$6,TODAY()&lt;GK$6)</formula>
    </cfRule>
  </conditionalFormatting>
  <conditionalFormatting sqref="GK6:GK7">
    <cfRule type="expression" dxfId="27" priority="26">
      <formula>AND(TODAY()&gt;=GK$6,TODAY()&lt;GL$6)</formula>
    </cfRule>
  </conditionalFormatting>
  <conditionalFormatting sqref="GL6:GL7">
    <cfRule type="expression" dxfId="26" priority="25">
      <formula>AND(TODAY()&gt;=GL$6,TODAY()&lt;GM$6)</formula>
    </cfRule>
  </conditionalFormatting>
  <conditionalFormatting sqref="GM6:GM7">
    <cfRule type="expression" dxfId="25" priority="24">
      <formula>AND(TODAY()&gt;=GM$6,TODAY()&lt;GN$6)</formula>
    </cfRule>
  </conditionalFormatting>
  <conditionalFormatting sqref="GN6:GN7">
    <cfRule type="expression" dxfId="24" priority="23">
      <formula>AND(TODAY()&gt;=GN$6,TODAY()&lt;GO$6)</formula>
    </cfRule>
  </conditionalFormatting>
  <conditionalFormatting sqref="GO6:GO7">
    <cfRule type="expression" dxfId="23" priority="22">
      <formula>AND(TODAY()&gt;=GO$6,TODAY()&lt;GP$6)</formula>
    </cfRule>
  </conditionalFormatting>
  <conditionalFormatting sqref="GP6:GP7">
    <cfRule type="expression" dxfId="22" priority="21">
      <formula>AND(TODAY()&gt;=GP$6,TODAY()&lt;GQ$6)</formula>
    </cfRule>
  </conditionalFormatting>
  <conditionalFormatting sqref="GQ6:GQ7">
    <cfRule type="expression" dxfId="21" priority="20">
      <formula>AND(TODAY()&gt;=GQ$6,TODAY()&lt;GR$6)</formula>
    </cfRule>
  </conditionalFormatting>
  <conditionalFormatting sqref="GR6:GR7">
    <cfRule type="expression" dxfId="20" priority="19">
      <formula>AND(TODAY()&gt;=GR$6,TODAY()&lt;GS$6)</formula>
    </cfRule>
  </conditionalFormatting>
  <conditionalFormatting sqref="GS6:GS7">
    <cfRule type="expression" dxfId="19" priority="18">
      <formula>AND(TODAY()&gt;=GS$6,TODAY()&lt;GT$6)</formula>
    </cfRule>
  </conditionalFormatting>
  <conditionalFormatting sqref="GT6:GT7">
    <cfRule type="expression" dxfId="18" priority="17">
      <formula>AND(TODAY()&gt;=GT$6,TODAY()&lt;GU$6)</formula>
    </cfRule>
  </conditionalFormatting>
  <conditionalFormatting sqref="GU6:GU7">
    <cfRule type="expression" dxfId="17" priority="16">
      <formula>AND(TODAY()&gt;=GU$6,TODAY()&lt;GV$6)</formula>
    </cfRule>
  </conditionalFormatting>
  <conditionalFormatting sqref="GV6:GV7">
    <cfRule type="expression" dxfId="16" priority="15">
      <formula>AND(TODAY()&gt;=GV$6,TODAY()&lt;GW$6)</formula>
    </cfRule>
  </conditionalFormatting>
  <conditionalFormatting sqref="GW6:GW7">
    <cfRule type="expression" dxfId="15" priority="14">
      <formula>AND(TODAY()&gt;=GW$6,TODAY()&lt;GX$6)</formula>
    </cfRule>
  </conditionalFormatting>
  <conditionalFormatting sqref="GX6:GX7">
    <cfRule type="expression" dxfId="14" priority="13">
      <formula>AND(TODAY()&gt;=GX$6,TODAY()&lt;GY$6)</formula>
    </cfRule>
  </conditionalFormatting>
  <conditionalFormatting sqref="GY6:GY7">
    <cfRule type="expression" dxfId="13" priority="12">
      <formula>AND(TODAY()&gt;=GY$6,TODAY()&lt;GZ$6)</formula>
    </cfRule>
  </conditionalFormatting>
  <conditionalFormatting sqref="GZ6:GZ7">
    <cfRule type="expression" dxfId="12" priority="11">
      <formula>AND(TODAY()&gt;=GZ$6,TODAY()&lt;HA$6)</formula>
    </cfRule>
  </conditionalFormatting>
  <conditionalFormatting sqref="HA6:HA7">
    <cfRule type="expression" dxfId="11" priority="10">
      <formula>AND(TODAY()&gt;=HA$6,TODAY()&lt;HB$6)</formula>
    </cfRule>
  </conditionalFormatting>
  <conditionalFormatting sqref="HB6:HB7">
    <cfRule type="expression" dxfId="10" priority="9">
      <formula>AND(TODAY()&gt;=HB$6,TODAY()&lt;HC$6)</formula>
    </cfRule>
  </conditionalFormatting>
  <conditionalFormatting sqref="HC6:HC7">
    <cfRule type="expression" dxfId="9" priority="8">
      <formula>AND(TODAY()&gt;=HC$6,TODAY()&lt;HD$6)</formula>
    </cfRule>
  </conditionalFormatting>
  <conditionalFormatting sqref="HD6:HD7">
    <cfRule type="expression" dxfId="8" priority="7">
      <formula>AND(TODAY()&gt;=HD$6,TODAY()&lt;HE$6)</formula>
    </cfRule>
  </conditionalFormatting>
  <conditionalFormatting sqref="HE6:HE7">
    <cfRule type="expression" dxfId="7" priority="6">
      <formula>AND(TODAY()&gt;=HE$6,TODAY()&lt;HF$6)</formula>
    </cfRule>
  </conditionalFormatting>
  <conditionalFormatting sqref="HF6:HF7">
    <cfRule type="expression" dxfId="6" priority="5">
      <formula>AND(TODAY()&gt;=HF$6,TODAY()&lt;HG$6)</formula>
    </cfRule>
  </conditionalFormatting>
  <conditionalFormatting sqref="HG6:HG7">
    <cfRule type="expression" dxfId="5" priority="4">
      <formula>AND(TODAY()&gt;=HG$6,TODAY()&lt;HH$6)</formula>
    </cfRule>
  </conditionalFormatting>
  <conditionalFormatting sqref="HH6:HH7">
    <cfRule type="expression" dxfId="4" priority="3">
      <formula>AND(TODAY()&gt;=HH$6,TODAY()&lt;HI$6)</formula>
    </cfRule>
  </conditionalFormatting>
  <conditionalFormatting sqref="HI6:HI7">
    <cfRule type="expression" dxfId="3" priority="2">
      <formula>AND(TODAY()&gt;=HI$6,TODAY()&lt;HJ$6)</formula>
    </cfRule>
  </conditionalFormatting>
  <conditionalFormatting sqref="HJ6:HJ7">
    <cfRule type="expression" dxfId="2" priority="1">
      <formula>AND(TODAY()&gt;=HJ$6,TODAY()&lt;HK$6)</formula>
    </cfRule>
  </conditionalFormatting>
  <conditionalFormatting sqref="I8:HJ31">
    <cfRule type="expression" dxfId="1" priority="170">
      <formula>AND(début_tâche&lt;=I$6,ROUNDDOWN((fin_tâche-début_tâche+1)*avancement_tâche,0)+début_tâche-1&gt;=I$6)</formula>
    </cfRule>
    <cfRule type="expression" dxfId="0" priority="171" stopIfTrue="1">
      <formula>AND(fin_tâche&gt;=I$6,début_tâche&lt;J$6)</formula>
    </cfRule>
  </conditionalFormatting>
  <dataValidations count="1">
    <dataValidation type="whole" operator="greaterThanOrEqual" allowBlank="1" showInputMessage="1" promptTitle="Semaine d’affichage" prompt="La modification de ce nombre entraînera la défilement du diagramme de Gantt." sqref="E5"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colBreaks count="1" manualBreakCount="1">
    <brk id="2" max="1048575" man="1"/>
  </colBreaks>
  <ignoredErrors>
    <ignoredError sqref="E22"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D8:D31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election activeCell="A10" sqref="A10"/>
    </sheetView>
  </sheetViews>
  <sheetFormatPr baseColWidth="10" defaultColWidth="9.140625" defaultRowHeight="12.75" x14ac:dyDescent="0.2"/>
  <cols>
    <col min="1" max="1" width="90.7109375" style="26" customWidth="1"/>
    <col min="2" max="16384" width="9.140625" style="2"/>
  </cols>
  <sheetData>
    <row r="1" spans="1:2" ht="46.5" customHeight="1" x14ac:dyDescent="0.2"/>
    <row r="2" spans="1:2" s="28" customFormat="1" ht="15.75" x14ac:dyDescent="0.25">
      <c r="A2" s="27" t="s">
        <v>20</v>
      </c>
      <c r="B2" s="27"/>
    </row>
    <row r="3" spans="1:2" s="32" customFormat="1" ht="27" customHeight="1" x14ac:dyDescent="0.25">
      <c r="A3" s="55" t="s">
        <v>21</v>
      </c>
      <c r="B3" s="33"/>
    </row>
    <row r="4" spans="1:2" s="29" customFormat="1" ht="26.25" x14ac:dyDescent="0.4">
      <c r="A4" s="30" t="s">
        <v>22</v>
      </c>
    </row>
    <row r="5" spans="1:2" ht="74.099999999999994" customHeight="1" x14ac:dyDescent="0.2">
      <c r="A5" s="31" t="s">
        <v>23</v>
      </c>
    </row>
    <row r="6" spans="1:2" ht="26.25" customHeight="1" x14ac:dyDescent="0.2">
      <c r="A6" s="30" t="s">
        <v>24</v>
      </c>
    </row>
    <row r="7" spans="1:2" s="26" customFormat="1" ht="204.95" customHeight="1" x14ac:dyDescent="0.25">
      <c r="A7" s="35" t="s">
        <v>25</v>
      </c>
    </row>
    <row r="8" spans="1:2" s="29" customFormat="1" ht="26.25" x14ac:dyDescent="0.4">
      <c r="A8" s="30" t="s">
        <v>26</v>
      </c>
    </row>
    <row r="9" spans="1:2" ht="75" x14ac:dyDescent="0.2">
      <c r="A9" s="31" t="s">
        <v>27</v>
      </c>
    </row>
    <row r="10" spans="1:2" s="26" customFormat="1" ht="27.95" customHeight="1" x14ac:dyDescent="0.25">
      <c r="A10" s="34" t="s">
        <v>28</v>
      </c>
    </row>
    <row r="11" spans="1:2" s="29" customFormat="1" ht="26.25" x14ac:dyDescent="0.4">
      <c r="A11" s="30" t="s">
        <v>29</v>
      </c>
    </row>
    <row r="12" spans="1:2" ht="30" x14ac:dyDescent="0.2">
      <c r="A12" s="31" t="s">
        <v>30</v>
      </c>
    </row>
    <row r="13" spans="1:2" s="26" customFormat="1" ht="27.95" customHeight="1" x14ac:dyDescent="0.25">
      <c r="A13" s="34" t="s">
        <v>31</v>
      </c>
    </row>
    <row r="14" spans="1:2" s="29" customFormat="1" ht="26.25" x14ac:dyDescent="0.4">
      <c r="A14" s="30" t="s">
        <v>32</v>
      </c>
    </row>
    <row r="15" spans="1:2" ht="88.5" customHeight="1" x14ac:dyDescent="0.2">
      <c r="A15" s="31" t="s">
        <v>33</v>
      </c>
    </row>
    <row r="16" spans="1:2" ht="96.75" customHeight="1" x14ac:dyDescent="0.2">
      <c r="A16" s="31" t="s">
        <v>34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scale="94"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sharepoint/v3"/>
    <ds:schemaRef ds:uri="http://purl.org/dc/terms/"/>
    <ds:schemaRef ds:uri="http://www.w3.org/XML/1998/namespace"/>
    <ds:schemaRef ds:uri="16c05727-aa75-4e4a-9b5f-8a80a1165891"/>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230e9df3-be65-4c73-a93b-d1236ebd677e"/>
    <ds:schemaRef ds:uri="71af3243-3dd4-4a8d-8c0d-dd76da1f02a5"/>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6</vt:i4>
      </vt:variant>
    </vt:vector>
  </HeadingPairs>
  <TitlesOfParts>
    <vt:vector size="8" baseType="lpstr">
      <vt:lpstr>PlanningProjet</vt:lpstr>
      <vt:lpstr>À propos de</vt:lpstr>
      <vt:lpstr>PlanningProjet!avancement_tâche</vt:lpstr>
      <vt:lpstr>Début_Projet</vt:lpstr>
      <vt:lpstr>PlanningProjet!début_tâche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2023-11-22T12:50:20Z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